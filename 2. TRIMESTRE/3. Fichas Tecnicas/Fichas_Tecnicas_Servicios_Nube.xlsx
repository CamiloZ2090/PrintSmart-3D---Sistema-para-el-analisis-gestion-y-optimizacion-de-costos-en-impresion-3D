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57321\Downloads\"/>
    </mc:Choice>
  </mc:AlternateContent>
  <xr:revisionPtr revIDLastSave="0" documentId="13_ncr:1_{32BF329A-3D26-4856-BF7B-B6675A1B52E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WS – EC2 t3.large" sheetId="1" r:id="rId1"/>
    <sheet name="Azure – VM B2ms" sheetId="2" r:id="rId2"/>
    <sheet name="GCP – e2-standard-2" sheetId="3" r:id="rId3"/>
    <sheet name="Comparación y Recomendación" sheetId="4" r:id="rId4"/>
  </sheets>
  <definedNames>
    <definedName name="_xlnm.Print_Area" localSheetId="1">'Azure – VM B2ms'!$A$1:$D$19</definedName>
    <definedName name="_xlnm.Print_Area" localSheetId="3">'Comparación y Recomendación'!$A$1:$E$35</definedName>
    <definedName name="_xlnm.Print_Area" localSheetId="2">'GCP – e2-standard-2'!$A$1:$D$19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" i="4" l="1"/>
  <c r="D29" i="4"/>
  <c r="C29" i="4"/>
  <c r="B29" i="4"/>
  <c r="B31" i="4" s="1"/>
</calcChain>
</file>

<file path=xl/sharedStrings.xml><?xml version="1.0" encoding="utf-8"?>
<sst xmlns="http://schemas.openxmlformats.org/spreadsheetml/2006/main" count="254" uniqueCount="166">
  <si>
    <t>☁️   FICHA TÉCNICA DEL SERVICIO EN LA NUBE</t>
  </si>
  <si>
    <t>ESPECIFICACIONES TÉCNICAS</t>
  </si>
  <si>
    <t>Proveedor</t>
  </si>
  <si>
    <t>Amazon Web Services (AWS)</t>
  </si>
  <si>
    <t>Plan / Modelo</t>
  </si>
  <si>
    <t>EC2 t3.large  |  Propósito General</t>
  </si>
  <si>
    <t>vCPUs  (Procesador Virtual)</t>
  </si>
  <si>
    <t>2 vCPUs</t>
  </si>
  <si>
    <t>Velocidad de CPU</t>
  </si>
  <si>
    <t>Hasta 3.1 GHz  (Intel Xeon Platinum 8000)</t>
  </si>
  <si>
    <t>Memoria RAM</t>
  </si>
  <si>
    <t>8 GB</t>
  </si>
  <si>
    <t>Tipo de RAM</t>
  </si>
  <si>
    <t>DDR4</t>
  </si>
  <si>
    <t>Almacenamiento incluido</t>
  </si>
  <si>
    <t>100 GB</t>
  </si>
  <si>
    <t>Tipo de disco</t>
  </si>
  <si>
    <t>Amazon EBS gp3  (SSD)</t>
  </si>
  <si>
    <t>Aceleración GPU</t>
  </si>
  <si>
    <t>No incluida  (disponible como opción adicional)</t>
  </si>
  <si>
    <t>Sistema Operativo</t>
  </si>
  <si>
    <t>Amazon Linux 2 / Ubuntu 22 / Windows Server</t>
  </si>
  <si>
    <t>Regiones disponibles</t>
  </si>
  <si>
    <t>32 regiones globales</t>
  </si>
  <si>
    <t>Zonas de disponibilidad</t>
  </si>
  <si>
    <t>2–6 zonas por región</t>
  </si>
  <si>
    <t>SLA de disponibilidad</t>
  </si>
  <si>
    <t>99.99%</t>
  </si>
  <si>
    <t>Soporte técnico</t>
  </si>
  <si>
    <t>Básico gratuito  |  Developer/Business de pago</t>
  </si>
  <si>
    <t>Transferencia de datos</t>
  </si>
  <si>
    <t>100 GB salida/mes incluidos</t>
  </si>
  <si>
    <t>Conectividad / APIs</t>
  </si>
  <si>
    <t>REST API / SDK / AWS CLI / CloudFormation</t>
  </si>
  <si>
    <t>Consola / Interfaz</t>
  </si>
  <si>
    <t>AWS Management Console</t>
  </si>
  <si>
    <t>Modalidad de contrato</t>
  </si>
  <si>
    <t>Sin contrato  –  pago por hora</t>
  </si>
  <si>
    <t>URL del servicio</t>
  </si>
  <si>
    <t>https://aws.amazon.com/ec2/instance-types/t3/</t>
  </si>
  <si>
    <t>Código del plan / SKU</t>
  </si>
  <si>
    <t>t3.large  |  us-east-1</t>
  </si>
  <si>
    <t>DESCRIPCIÓN DEL SERVICIO</t>
  </si>
  <si>
    <t>NOTAS ADICIONALES / INCLUIDOS EN EL PLAN</t>
  </si>
  <si>
    <t>Incluye: 5 GB Amazon S3 (capa gratuita 12 meses), CloudWatch básico, soporte por foros y documentación oficial, integración nativa con IAM, VPC, Auto Scaling y Load Balancer.</t>
  </si>
  <si>
    <t>Microsoft Azure</t>
  </si>
  <si>
    <t>Virtual Machine B2ms  |  Burstable</t>
  </si>
  <si>
    <t>Hasta 3.2 GHz  (Intel Xeon Platinum 8272CL)</t>
  </si>
  <si>
    <t>16 GB OS  +  32 GB temporal</t>
  </si>
  <si>
    <t>Premium SSD administrado</t>
  </si>
  <si>
    <t>Windows Server / Ubuntu 22 / Red Hat Enterprise</t>
  </si>
  <si>
    <t>60+ regiones globales</t>
  </si>
  <si>
    <t>3 zonas por región (en regiones principales)</t>
  </si>
  <si>
    <t>99.95%  (VM única)  |  99.99%  (con Availability Set)</t>
  </si>
  <si>
    <t>Developer incluido  |  Standard/Premier de pago</t>
  </si>
  <si>
    <t>5 GB salida/mes incluidos</t>
  </si>
  <si>
    <t>REST API / Azure SDK / Azure CLI / ARM Templates</t>
  </si>
  <si>
    <t>Azure Portal</t>
  </si>
  <si>
    <t>Sin contrato  –  pago por segundo</t>
  </si>
  <si>
    <t>https://azure.microsoft.com/pricing/details/virtual-machines/</t>
  </si>
  <si>
    <t>B2ms  |  eastus</t>
  </si>
  <si>
    <t>Incluye: Azure Portal, integración con Azure Active Directory, Microsoft Defender for Cloud (básico), crédito de bienvenida para cuentas nuevas, plan de soporte Developer incluido y monitoreo básico con Azure Monitor.</t>
  </si>
  <si>
    <t>Google Cloud Platform  (GCP)</t>
  </si>
  <si>
    <t>Compute Engine e2-standard-2  |  Propósito General</t>
  </si>
  <si>
    <t>Hasta 3.1 GHz  (Intel / AMD – selección automática)</t>
  </si>
  <si>
    <t>50 GB</t>
  </si>
  <si>
    <t>SSD Persistente  (PD-SSD)</t>
  </si>
  <si>
    <t>Debian 12 / Ubuntu 22 / Windows Server / COS</t>
  </si>
  <si>
    <t>40 regiones globales</t>
  </si>
  <si>
    <t>3 zonas por región</t>
  </si>
  <si>
    <t>99.99%  (zona única)  |  99.9999%  (multi-zona)</t>
  </si>
  <si>
    <t>Básico gratuito  |  Enhanced/Premium de pago</t>
  </si>
  <si>
    <t>1 TB entre regiones/mes  (salida a Internet incluida en cuota)</t>
  </si>
  <si>
    <t>REST API / Cloud SDK / gcloud CLI / Terraform</t>
  </si>
  <si>
    <t>Google Cloud Console</t>
  </si>
  <si>
    <t>Sin contrato  –  pago por segundo  +  descuentos automáticos</t>
  </si>
  <si>
    <t>https://cloud.google.com/compute/docs/general-purpose-machines</t>
  </si>
  <si>
    <t>e2-standard-2  |  us-central1</t>
  </si>
  <si>
    <t>Incluye: $300 USD de crédito gratuito por 90 días, BigQuery 1 TB/mes gratuito, Cloud Storage 5 GB gratuito, soporte técnico básico por comunidad y documentación, descuentos automáticos por uso sostenido de hasta 30% sin contratos adicionales.</t>
  </si>
  <si>
    <t>☁️   COMPARACIÓN DE SERVICIOS EN LA NUBE</t>
  </si>
  <si>
    <t>CRITERIO</t>
  </si>
  <si>
    <t>GANADOR</t>
  </si>
  <si>
    <t>💰  COSTO</t>
  </si>
  <si>
    <t>Precio mensual estimado</t>
  </si>
  <si>
    <t>$60.74 USD/mes</t>
  </si>
  <si>
    <t>$55.48 USD/mes</t>
  </si>
  <si>
    <t>$48.91 USD/mes</t>
  </si>
  <si>
    <t>✅ GCP</t>
  </si>
  <si>
    <t>Modelo de facturación</t>
  </si>
  <si>
    <t>Por hora</t>
  </si>
  <si>
    <t>Por segundo</t>
  </si>
  <si>
    <t>Por segundo + desc. aut.</t>
  </si>
  <si>
    <t>Crédito de bienvenida</t>
  </si>
  <si>
    <t>No disponible</t>
  </si>
  <si>
    <t>Limitado</t>
  </si>
  <si>
    <t>$300 USD  /  90 días</t>
  </si>
  <si>
    <t>⚙️  CÓMPUTO</t>
  </si>
  <si>
    <t>vCPUs</t>
  </si>
  <si>
    <t>🤝 Empate</t>
  </si>
  <si>
    <t>Velocidad máx. de CPU</t>
  </si>
  <si>
    <t>3.1 GHz</t>
  </si>
  <si>
    <t>3.2 GHz</t>
  </si>
  <si>
    <t>3.1 GHz (Flex)</t>
  </si>
  <si>
    <t>✅ Azure</t>
  </si>
  <si>
    <t>8 GB DDR4</t>
  </si>
  <si>
    <t>💾  ALMACENAMIENTO</t>
  </si>
  <si>
    <t>100 GB EBS gp3</t>
  </si>
  <si>
    <t>16 GB + 32 GB</t>
  </si>
  <si>
    <t>50 GB PD-SSD</t>
  </si>
  <si>
    <t>✅ AWS</t>
  </si>
  <si>
    <t>SSD (gp3)</t>
  </si>
  <si>
    <t>Premium SSD</t>
  </si>
  <si>
    <t>SSD Persistente</t>
  </si>
  <si>
    <t>🌐  COBERTURA GLOBAL</t>
  </si>
  <si>
    <t>32 regiones</t>
  </si>
  <si>
    <t>60+ regiones</t>
  </si>
  <si>
    <t>40 regiones</t>
  </si>
  <si>
    <t>2–6 por región</t>
  </si>
  <si>
    <t>3 por región</t>
  </si>
  <si>
    <t>🛡️  CONFIABILIDAD</t>
  </si>
  <si>
    <t>99.95% / 99.99%</t>
  </si>
  <si>
    <t>99.99% / 99.9999%</t>
  </si>
  <si>
    <t>Soporte técnico base</t>
  </si>
  <si>
    <t>Básico gratuito</t>
  </si>
  <si>
    <t>Developer incl.</t>
  </si>
  <si>
    <t>📡  CONECTIVIDAD Y RED</t>
  </si>
  <si>
    <t>Transferencia de datos/mes</t>
  </si>
  <si>
    <t>100 GB salida</t>
  </si>
  <si>
    <t>5 GB salida</t>
  </si>
  <si>
    <t>1 TB  (entre regiones)</t>
  </si>
  <si>
    <t>APIs y herramientas</t>
  </si>
  <si>
    <t>SDK/CLI/CFN/200+</t>
  </si>
  <si>
    <t>SDK/CLI/ARM/100+</t>
  </si>
  <si>
    <t>SDK/gcloud/TF/100+</t>
  </si>
  <si>
    <t>🔗  ECOSISTEMA</t>
  </si>
  <si>
    <t>Servicios gestionados</t>
  </si>
  <si>
    <t>200+ servicios</t>
  </si>
  <si>
    <t>100+ servicios</t>
  </si>
  <si>
    <t>Integración empresarial</t>
  </si>
  <si>
    <t>AWS Organizations</t>
  </si>
  <si>
    <t>Azure Active Dir.</t>
  </si>
  <si>
    <t>Google Workspace</t>
  </si>
  <si>
    <t>📊  PUNTUACIÓN CONSOLIDADA</t>
  </si>
  <si>
    <t>Servicio evaluado</t>
  </si>
  <si>
    <t>Criterios ganados</t>
  </si>
  <si>
    <t>Empates</t>
  </si>
  <si>
    <t>⭐   RECOMENDACIÓN PARA EL CLIENTE</t>
  </si>
  <si>
    <t>✅   SERVICIO RECOMENDADO:  Google Cloud Platform (GCP)</t>
  </si>
  <si>
    <t>GCP es la mejor opción para el cliente por las siguientes razones:
1. 💰 MEJOR PRECIO DEL MERCADO: A USD $48.91/mes, GCP es un 19% más económico que Azure y un 19% más económico que AWS para la misma configuración (2 vCPUs / 8 GB RAM). El ahorro anual puede superar los USD $140 frente a AWS solo en costo de instancia.
2. 📡 TRANSFERENCIA DE DATOS SIN RIVAL: 1 TB/mes entre regiones incluido vs. solo 100 GB de AWS y apenas 5 GB de Azure. Para aplicaciones con tráfico moderado-alto, esto evita costos adicionales de red de hasta USD $80–120/mes que los otros proveedores cobrarían por separado.
3. 💳 CRÉDITO DE BIENVENIDA DE $300 USD (90 DÍAS): El incentivo más generoso del mercado permite al cliente evaluar y desplegar la solución en producción sin riesgo financiero inicial.
4. 🎯 DESCUENTOS AUTOMÁTICOS SIN COMPROMISOS: GCP aplica descuentos por uso sostenido de hasta el 30% automáticamente cuando la VM funciona más del 25% del mes, sin necesidad de reservas ni contratos de largo plazo.
5. 🛡️ ALTA DISPONIBILIDAD: SLA del 99.99% en zona única y 99.9999% en configuración multi-zona, sobre la misma infraestructura de red privada global que potencia YouTube y Gmail.
6. ⚙️ INFRAESTRUCTURA DE NIVEL MUNDIAL: Baja latencia garantizada, rendimiento de CPU consistente con selección automática Intel/AMD y facturación por segundo desde el primer minuto de uso.
CONSIDERACIONES ADICIONALES:
• Si el cliente ya utiliza Microsoft 365, Teams o Active Directory, Azure facilita la integración.
• Si el proyecto requiere el mayor catálogo de servicios gestionados del mercado, AWS lidera con 200+.
• GCP es la opción ideal para startups, empresas en crecimiento y proyectos con alto volumen de datos.</t>
  </si>
  <si>
    <t>AWS</t>
  </si>
  <si>
    <t>Azure</t>
  </si>
  <si>
    <t>GCP</t>
  </si>
  <si>
    <t>Análisis comparativo · Instancias propósito general  (8 GB RAM)</t>
  </si>
  <si>
    <t>Total criterios</t>
  </si>
  <si>
    <t>La instancia de GCP ofrece la mejor relación precio-rendimiento del mercado para cargas de propósito general. Corre sobre la misma infraestructura de red privada global que usa Google para YouTube, Gmail y la Búsqueda, garantizando latencia ultrabaja y rendimiento consistente. Aplica descuentos por uso sostenido automáticos (hasta 30%) sin necesidad de reservas ni compromisos contractuales, y factura por segundo desde el primer minuto de uso.</t>
  </si>
  <si>
    <t>La VM de Microsoft Azure es ideal para cargas de trabajo con uso variable de CPU: acumula créditos de procesamiento cuando el uso es bajo y los aplica en momentos de alta demanda. Ofrece integración nativa con el ecosistema Microsoft (Office 365, Active Directory, Dynamics 365 y Teams). Con presencia en 60+ regiones globales –la mayor cobertura geográfica del mercado– Azure es la solución preferida de empresas que ya operan sobre infraestructura Microsoft y necesitan cumplir con regulaciones locales.</t>
  </si>
  <si>
    <t>La instancia de AWS ofrece cómputo escalable con tecnología de CPU Burst, permitiendo picos de rendimiento cuando la aplicación lo requiere. Con acceso al ecosistema más amplio del mercado (200+ servicios integrados como S3, RDS, Lambda, SageMaker y CloudWatch), es la plataforma más madura y con mayor disponibilidad de herramientas gestionadas. Ideal para aplicaciones web, bases de datos medianas, entornos de desarrollo y microservicios en producción.</t>
  </si>
  <si>
    <t xml:space="preserve">
</t>
  </si>
  <si>
    <t>Nombre del Servicio: Amazon Web Services (AWS)</t>
  </si>
  <si>
    <t xml:space="preserve">Nombre del Servicio: Microsoft Azure </t>
  </si>
  <si>
    <t>Nombre del Servicio: Google Cloud Platform  (GCP)</t>
  </si>
  <si>
    <t>PRECIO MENSUAL
USD $191,950 / mes</t>
  </si>
  <si>
    <t>PRECIO MENSUAL
USD $210,250 / mes</t>
  </si>
  <si>
    <t>PRECIO MENSUAL
USD $169,200 / mes</t>
  </si>
  <si>
    <r>
      <t xml:space="preserve">Elaborado por: </t>
    </r>
    <r>
      <rPr>
        <i/>
        <u/>
        <sz val="9"/>
        <color rgb="FF808080"/>
        <rFont val="Arial"/>
        <family val="2"/>
      </rPr>
      <t>Camilo Andres Zambrano Vasquez</t>
    </r>
    <r>
      <rPr>
        <i/>
        <sz val="9"/>
        <color rgb="FF808080"/>
        <rFont val="Arial"/>
        <family val="2"/>
      </rPr>
      <t xml:space="preserve">     Fecha: </t>
    </r>
    <r>
      <rPr>
        <i/>
        <u/>
        <sz val="9"/>
        <color rgb="FF808080"/>
        <rFont val="Arial"/>
        <family val="2"/>
      </rPr>
      <t>15/06/2026</t>
    </r>
    <r>
      <rPr>
        <i/>
        <sz val="9"/>
        <color rgb="FF808080"/>
        <rFont val="Arial"/>
        <charset val="1"/>
      </rPr>
      <t xml:space="preserve">     Aprobado por: </t>
    </r>
    <r>
      <rPr>
        <i/>
        <u/>
        <sz val="9"/>
        <color rgb="FF808080"/>
        <rFont val="Arial"/>
        <family val="2"/>
      </rPr>
      <t>Yesenia Montoya Silva</t>
    </r>
  </si>
  <si>
    <r>
      <t xml:space="preserve">Elaborado por: </t>
    </r>
    <r>
      <rPr>
        <i/>
        <u/>
        <sz val="9"/>
        <color rgb="FF808080"/>
        <rFont val="Arial"/>
        <family val="2"/>
      </rPr>
      <t>Camilo Andres Zambrano Vasquez</t>
    </r>
    <r>
      <rPr>
        <i/>
        <sz val="9"/>
        <color rgb="FF808080"/>
        <rFont val="Arial"/>
        <charset val="1"/>
      </rPr>
      <t xml:space="preserve">     Fecha: </t>
    </r>
    <r>
      <rPr>
        <i/>
        <u/>
        <sz val="9"/>
        <color rgb="FF808080"/>
        <rFont val="Arial"/>
        <family val="2"/>
      </rPr>
      <t>15/06/2026</t>
    </r>
    <r>
      <rPr>
        <i/>
        <sz val="9"/>
        <color rgb="FF808080"/>
        <rFont val="Arial"/>
        <charset val="1"/>
      </rPr>
      <t xml:space="preserve">    Aprobado por: </t>
    </r>
    <r>
      <rPr>
        <i/>
        <u/>
        <sz val="9"/>
        <color rgb="FF808080"/>
        <rFont val="Arial"/>
        <family val="2"/>
      </rPr>
      <t>Yesenia Montoya Silva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</si>
</sst>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1F3864"/>
      <name val="Arial"/>
      <charset val="1"/>
    </font>
    <font>
      <b/>
      <sz val="13"/>
      <color rgb="FF1F3864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1A1A2E"/>
      <name val="Arial"/>
      <charset val="1"/>
    </font>
    <font>
      <i/>
      <sz val="9"/>
      <color rgb="FF808080"/>
      <name val="Arial"/>
      <charset val="1"/>
    </font>
    <font>
      <sz val="10"/>
      <color rgb="FF1F3864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888888"/>
      <name val="Arial"/>
      <charset val="1"/>
    </font>
    <font>
      <b/>
      <sz val="9"/>
      <color rgb="FF375623"/>
      <name val="Arial"/>
      <charset val="1"/>
    </font>
    <font>
      <b/>
      <sz val="12"/>
      <color rgb="FF1A5276"/>
      <name val="Arial"/>
      <charset val="1"/>
    </font>
    <font>
      <u/>
      <sz val="11"/>
      <color theme="10"/>
      <name val="Calibri"/>
      <family val="2"/>
      <charset val="1"/>
    </font>
    <font>
      <b/>
      <sz val="10"/>
      <color rgb="FF1A1A2E"/>
      <name val="Arial"/>
      <family val="2"/>
    </font>
    <font>
      <b/>
      <sz val="10"/>
      <color theme="1"/>
      <name val="Arial Unicode MS"/>
    </font>
    <font>
      <b/>
      <sz val="13"/>
      <color rgb="FF1F3864"/>
      <name val="Arial"/>
      <family val="2"/>
    </font>
    <font>
      <b/>
      <sz val="10"/>
      <color rgb="FF1F3864"/>
      <name val="Arial"/>
      <family val="2"/>
    </font>
    <font>
      <sz val="9"/>
      <color rgb="FF1A1A2E"/>
      <name val="Arial"/>
      <family val="2"/>
    </font>
    <font>
      <i/>
      <u/>
      <sz val="9"/>
      <color rgb="FF808080"/>
      <name val="Arial"/>
      <family val="2"/>
    </font>
    <font>
      <i/>
      <sz val="9"/>
      <color rgb="FF80808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6375B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DFEFE"/>
      </patternFill>
    </fill>
    <fill>
      <patternFill patternType="solid">
        <fgColor rgb="FF16375B"/>
        <bgColor rgb="FF1F3864"/>
      </patternFill>
    </fill>
    <fill>
      <patternFill patternType="solid">
        <fgColor rgb="FF2E75B6"/>
        <bgColor rgb="FF0089D6"/>
      </patternFill>
    </fill>
    <fill>
      <patternFill patternType="solid">
        <fgColor rgb="FFEBF3FB"/>
        <bgColor rgb="FFF2F2F2"/>
      </patternFill>
    </fill>
    <fill>
      <patternFill patternType="solid">
        <fgColor rgb="FFFFF9E6"/>
        <bgColor rgb="FFFDFEFE"/>
      </patternFill>
    </fill>
    <fill>
      <patternFill patternType="solid">
        <fgColor rgb="FFF2F2F2"/>
        <bgColor rgb="FFEBF3FB"/>
      </patternFill>
    </fill>
    <fill>
      <patternFill patternType="solid">
        <fgColor rgb="FFE2EFDA"/>
        <bgColor rgb="FFF2F2F2"/>
      </patternFill>
    </fill>
    <fill>
      <patternFill patternType="solid">
        <fgColor rgb="FF1A5276"/>
        <bgColor rgb="FF1F3864"/>
      </patternFill>
    </fill>
    <fill>
      <patternFill patternType="solid">
        <fgColor rgb="FFFDFEFE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5">
    <xf numFmtId="0" fontId="0" fillId="0" borderId="0" xfId="0"/>
    <xf numFmtId="0" fontId="10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16" fillId="4" borderId="1" xfId="0" applyFont="1" applyFill="1" applyBorder="1" applyAlignment="1">
      <alignment horizontal="center" vertical="center"/>
    </xf>
    <xf numFmtId="0" fontId="0" fillId="0" borderId="0" xfId="0" applyFont="1"/>
    <xf numFmtId="0" fontId="7" fillId="7" borderId="1" xfId="0" applyFont="1" applyFill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left" vertical="center" wrapText="1" indent="1"/>
    </xf>
    <xf numFmtId="0" fontId="15" fillId="4" borderId="1" xfId="1" applyFill="1" applyBorder="1" applyAlignment="1">
      <alignment horizontal="left" vertical="center" wrapText="1" indent="1"/>
    </xf>
    <xf numFmtId="0" fontId="20" fillId="7" borderId="1" xfId="0" applyFont="1" applyFill="1" applyBorder="1" applyAlignment="1">
      <alignment horizontal="left" vertical="center" wrapText="1" indent="1"/>
    </xf>
    <xf numFmtId="0" fontId="1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left" vertical="center" wrapText="1" indent="1"/>
    </xf>
    <xf numFmtId="0" fontId="7" fillId="8" borderId="1" xfId="0" applyFont="1" applyFill="1" applyBorder="1" applyAlignment="1">
      <alignment horizontal="left" vertical="center" wrapText="1" indent="1"/>
    </xf>
    <xf numFmtId="0" fontId="22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indent="1"/>
    </xf>
    <xf numFmtId="0" fontId="7" fillId="12" borderId="1" xfId="0" applyFont="1" applyFill="1" applyBorder="1" applyAlignment="1">
      <alignment horizontal="left" vertical="top" wrapText="1" indent="1"/>
    </xf>
    <xf numFmtId="0" fontId="16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BF3FB"/>
      <rgbColor rgb="FF660066"/>
      <rgbColor rgb="FFFF8080"/>
      <rgbColor rgb="FF0089D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FEFE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888888"/>
      <rgbColor rgb="FF16375B"/>
      <rgbColor rgb="FF34A853"/>
      <rgbColor rgb="FF375623"/>
      <rgbColor rgb="FF1A1A2E"/>
      <rgbColor rgb="FF993300"/>
      <rgbColor rgb="FF993366"/>
      <rgbColor rgb="FF1A5276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304800</xdr:colOff>
      <xdr:row>2</xdr:row>
      <xdr:rowOff>304800</xdr:rowOff>
    </xdr:to>
    <xdr:sp macro="" textlink="">
      <xdr:nvSpPr>
        <xdr:cNvPr id="1029" name="AutoShape 5" descr="Amazon Web Services - Wikipedia">
          <a:extLst>
            <a:ext uri="{FF2B5EF4-FFF2-40B4-BE49-F238E27FC236}">
              <a16:creationId xmlns:a16="http://schemas.microsoft.com/office/drawing/2014/main" id="{59B74163-E26D-8D8B-71CB-B97CCD7D6F6D}"/>
            </a:ext>
          </a:extLst>
        </xdr:cNvPr>
        <xdr:cNvSpPr>
          <a:spLocks noChangeAspect="1" noChangeArrowheads="1"/>
        </xdr:cNvSpPr>
      </xdr:nvSpPr>
      <xdr:spPr bwMode="auto">
        <a:xfrm>
          <a:off x="8715375" y="75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133351</xdr:colOff>
      <xdr:row>2</xdr:row>
      <xdr:rowOff>76200</xdr:rowOff>
    </xdr:from>
    <xdr:to>
      <xdr:col>1</xdr:col>
      <xdr:colOff>1285875</xdr:colOff>
      <xdr:row>2</xdr:row>
      <xdr:rowOff>1964794</xdr:rowOff>
    </xdr:to>
    <xdr:pic>
      <xdr:nvPicPr>
        <xdr:cNvPr id="5" name="Gráfico 4">
          <a:extLst>
            <a:ext uri="{FF2B5EF4-FFF2-40B4-BE49-F238E27FC236}">
              <a16:creationId xmlns:a16="http://schemas.microsoft.com/office/drawing/2014/main" id="{91D0C018-6991-CC6B-0EFD-2E1833628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1" y="828675"/>
          <a:ext cx="2828924" cy="18885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2</xdr:row>
      <xdr:rowOff>95250</xdr:rowOff>
    </xdr:from>
    <xdr:to>
      <xdr:col>1</xdr:col>
      <xdr:colOff>590550</xdr:colOff>
      <xdr:row>3</xdr:row>
      <xdr:rowOff>28575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DD69093F-D242-E6EC-A170-2EF68D863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0" y="847725"/>
          <a:ext cx="142875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1</xdr:row>
      <xdr:rowOff>142875</xdr:rowOff>
    </xdr:from>
    <xdr:to>
      <xdr:col>1</xdr:col>
      <xdr:colOff>1123950</xdr:colOff>
      <xdr:row>3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151023-ACA8-BB43-35D7-8380A295A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647700"/>
          <a:ext cx="1504950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ws.amazon.com/ec2/instance-types/t3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zure.microsoft.com/pricing/details/virtual-machine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cloud.google.com/compute/docs/general-purpose-machine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</sheetPr>
  <dimension ref="A1:F19"/>
  <sheetViews>
    <sheetView tabSelected="1" zoomScaleNormal="100" workbookViewId="0">
      <selection activeCell="C22" sqref="C22"/>
    </sheetView>
  </sheetViews>
  <sheetFormatPr baseColWidth="10" defaultColWidth="8.7109375" defaultRowHeight="15"/>
  <cols>
    <col min="1" max="1" width="25.140625" bestFit="1" customWidth="1"/>
    <col min="2" max="2" width="24.140625" customWidth="1"/>
    <col min="3" max="3" width="21.5703125" bestFit="1" customWidth="1"/>
    <col min="4" max="4" width="33.5703125" bestFit="1" customWidth="1"/>
  </cols>
  <sheetData>
    <row r="1" spans="1:6" ht="39.75" customHeight="1">
      <c r="A1" s="16" t="s">
        <v>0</v>
      </c>
      <c r="B1" s="16"/>
      <c r="C1" s="16"/>
      <c r="D1" s="16"/>
    </row>
    <row r="2" spans="1:6" ht="19.5" customHeight="1">
      <c r="A2" s="17" t="s">
        <v>158</v>
      </c>
      <c r="B2" s="18"/>
      <c r="C2" s="18"/>
      <c r="D2" s="18"/>
    </row>
    <row r="3" spans="1:6" ht="159" customHeight="1">
      <c r="A3" s="19" t="s">
        <v>157</v>
      </c>
      <c r="B3" s="20"/>
      <c r="C3" s="21" t="s">
        <v>162</v>
      </c>
      <c r="D3" s="21"/>
    </row>
    <row r="4" spans="1:6" ht="21.75" customHeight="1">
      <c r="A4" s="22" t="s">
        <v>1</v>
      </c>
      <c r="B4" s="22"/>
      <c r="C4" s="22"/>
      <c r="D4" s="22"/>
    </row>
    <row r="5" spans="1:6" ht="31.5" customHeight="1">
      <c r="A5" s="2" t="s">
        <v>2</v>
      </c>
      <c r="B5" s="11" t="s">
        <v>3</v>
      </c>
      <c r="C5" s="2" t="s">
        <v>4</v>
      </c>
      <c r="D5" s="11" t="s">
        <v>5</v>
      </c>
    </row>
    <row r="6" spans="1:6" ht="31.5" customHeight="1">
      <c r="A6" s="2" t="s">
        <v>6</v>
      </c>
      <c r="B6" s="12" t="s">
        <v>7</v>
      </c>
      <c r="C6" s="2" t="s">
        <v>8</v>
      </c>
      <c r="D6" s="12" t="s">
        <v>9</v>
      </c>
    </row>
    <row r="7" spans="1:6" ht="31.5" customHeight="1">
      <c r="A7" s="2" t="s">
        <v>10</v>
      </c>
      <c r="B7" s="11" t="s">
        <v>11</v>
      </c>
      <c r="C7" s="2" t="s">
        <v>12</v>
      </c>
      <c r="D7" s="11" t="s">
        <v>13</v>
      </c>
    </row>
    <row r="8" spans="1:6" ht="31.5" customHeight="1">
      <c r="A8" s="2" t="s">
        <v>14</v>
      </c>
      <c r="B8" s="12" t="s">
        <v>15</v>
      </c>
      <c r="C8" s="2" t="s">
        <v>16</v>
      </c>
      <c r="D8" s="12" t="s">
        <v>17</v>
      </c>
    </row>
    <row r="9" spans="1:6" ht="31.5" customHeight="1">
      <c r="A9" s="2" t="s">
        <v>18</v>
      </c>
      <c r="B9" s="11" t="s">
        <v>19</v>
      </c>
      <c r="C9" s="2" t="s">
        <v>20</v>
      </c>
      <c r="D9" s="11" t="s">
        <v>21</v>
      </c>
    </row>
    <row r="10" spans="1:6" ht="31.5" customHeight="1">
      <c r="A10" s="2" t="s">
        <v>22</v>
      </c>
      <c r="B10" s="12" t="s">
        <v>23</v>
      </c>
      <c r="C10" s="2" t="s">
        <v>24</v>
      </c>
      <c r="D10" s="12" t="s">
        <v>25</v>
      </c>
      <c r="F10" s="10"/>
    </row>
    <row r="11" spans="1:6" ht="31.5" customHeight="1">
      <c r="A11" s="2" t="s">
        <v>26</v>
      </c>
      <c r="B11" s="11" t="s">
        <v>27</v>
      </c>
      <c r="C11" s="2" t="s">
        <v>28</v>
      </c>
      <c r="D11" s="11" t="s">
        <v>29</v>
      </c>
    </row>
    <row r="12" spans="1:6" ht="31.5" customHeight="1">
      <c r="A12" s="2" t="s">
        <v>30</v>
      </c>
      <c r="B12" s="12" t="s">
        <v>31</v>
      </c>
      <c r="C12" s="2" t="s">
        <v>32</v>
      </c>
      <c r="D12" s="12" t="s">
        <v>33</v>
      </c>
    </row>
    <row r="13" spans="1:6" ht="31.5" customHeight="1">
      <c r="A13" s="2" t="s">
        <v>34</v>
      </c>
      <c r="B13" s="11" t="s">
        <v>35</v>
      </c>
      <c r="C13" s="2" t="s">
        <v>36</v>
      </c>
      <c r="D13" s="11" t="s">
        <v>37</v>
      </c>
    </row>
    <row r="14" spans="1:6" ht="39" customHeight="1">
      <c r="A14" s="2" t="s">
        <v>38</v>
      </c>
      <c r="B14" s="13" t="s">
        <v>39</v>
      </c>
      <c r="C14" s="2" t="s">
        <v>40</v>
      </c>
      <c r="D14" s="12" t="s">
        <v>41</v>
      </c>
    </row>
    <row r="15" spans="1:6" ht="21.75" customHeight="1">
      <c r="A15" s="22" t="s">
        <v>42</v>
      </c>
      <c r="B15" s="22"/>
      <c r="C15" s="22"/>
      <c r="D15" s="22"/>
    </row>
    <row r="16" spans="1:6" ht="79.5" customHeight="1">
      <c r="A16" s="23" t="s">
        <v>156</v>
      </c>
      <c r="B16" s="24"/>
      <c r="C16" s="24"/>
      <c r="D16" s="24"/>
    </row>
    <row r="17" spans="1:4" ht="19.5" customHeight="1">
      <c r="A17" s="18" t="s">
        <v>43</v>
      </c>
      <c r="B17" s="18"/>
      <c r="C17" s="18"/>
      <c r="D17" s="18"/>
    </row>
    <row r="18" spans="1:4" ht="60" customHeight="1">
      <c r="A18" s="25" t="s">
        <v>44</v>
      </c>
      <c r="B18" s="25"/>
      <c r="C18" s="25"/>
      <c r="D18" s="25"/>
    </row>
    <row r="19" spans="1:4" ht="27.75" customHeight="1">
      <c r="A19" s="26" t="s">
        <v>164</v>
      </c>
      <c r="B19" s="27"/>
      <c r="C19" s="27"/>
      <c r="D19" s="27"/>
    </row>
  </sheetData>
  <mergeCells count="10">
    <mergeCell ref="A15:D15"/>
    <mergeCell ref="A16:D16"/>
    <mergeCell ref="A17:D17"/>
    <mergeCell ref="A18:D18"/>
    <mergeCell ref="A19:D19"/>
    <mergeCell ref="A1:D1"/>
    <mergeCell ref="A2:D2"/>
    <mergeCell ref="A3:B3"/>
    <mergeCell ref="C3:D3"/>
    <mergeCell ref="A4:D4"/>
  </mergeCells>
  <hyperlinks>
    <hyperlink ref="B14" r:id="rId1" xr:uid="{2D2CB80B-1C98-4F0E-A300-60D95661062A}"/>
  </hyperlinks>
  <pageMargins left="0.12" right="0.12" top="0.87" bottom="0.12" header="0.9" footer="0.12"/>
  <pageSetup paperSize="34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9D6"/>
  </sheetPr>
  <dimension ref="A1:D19"/>
  <sheetViews>
    <sheetView zoomScaleNormal="100" workbookViewId="0">
      <selection activeCell="A19" sqref="A19:D19"/>
    </sheetView>
  </sheetViews>
  <sheetFormatPr baseColWidth="10" defaultColWidth="8.7109375" defaultRowHeight="15"/>
  <cols>
    <col min="1" max="1" width="25.140625" bestFit="1" customWidth="1"/>
    <col min="2" max="2" width="26" customWidth="1"/>
    <col min="3" max="3" width="21.5703125" bestFit="1" customWidth="1"/>
    <col min="4" max="4" width="26.7109375" customWidth="1"/>
  </cols>
  <sheetData>
    <row r="1" spans="1:4" ht="39.75" customHeight="1">
      <c r="A1" s="16" t="s">
        <v>0</v>
      </c>
      <c r="B1" s="16"/>
      <c r="C1" s="16"/>
      <c r="D1" s="16"/>
    </row>
    <row r="2" spans="1:4" ht="19.5" customHeight="1">
      <c r="A2" s="17" t="s">
        <v>159</v>
      </c>
      <c r="B2" s="18"/>
      <c r="C2" s="18"/>
      <c r="D2" s="18"/>
    </row>
    <row r="3" spans="1:4" ht="117.75" customHeight="1">
      <c r="A3" s="19"/>
      <c r="B3" s="20"/>
      <c r="C3" s="21" t="s">
        <v>161</v>
      </c>
      <c r="D3" s="21"/>
    </row>
    <row r="4" spans="1:4" ht="21.75" customHeight="1">
      <c r="A4" s="22" t="s">
        <v>1</v>
      </c>
      <c r="B4" s="22"/>
      <c r="C4" s="22"/>
      <c r="D4" s="22"/>
    </row>
    <row r="5" spans="1:4" ht="31.5" customHeight="1">
      <c r="A5" s="2" t="s">
        <v>2</v>
      </c>
      <c r="B5" s="11" t="s">
        <v>45</v>
      </c>
      <c r="C5" s="2" t="s">
        <v>4</v>
      </c>
      <c r="D5" s="11" t="s">
        <v>46</v>
      </c>
    </row>
    <row r="6" spans="1:4" ht="31.5" customHeight="1">
      <c r="A6" s="2" t="s">
        <v>6</v>
      </c>
      <c r="B6" s="12" t="s">
        <v>7</v>
      </c>
      <c r="C6" s="2" t="s">
        <v>8</v>
      </c>
      <c r="D6" s="12" t="s">
        <v>47</v>
      </c>
    </row>
    <row r="7" spans="1:4" ht="31.5" customHeight="1">
      <c r="A7" s="2" t="s">
        <v>10</v>
      </c>
      <c r="B7" s="11" t="s">
        <v>11</v>
      </c>
      <c r="C7" s="2" t="s">
        <v>12</v>
      </c>
      <c r="D7" s="14" t="s">
        <v>13</v>
      </c>
    </row>
    <row r="8" spans="1:4" ht="31.5" customHeight="1">
      <c r="A8" s="2" t="s">
        <v>14</v>
      </c>
      <c r="B8" s="12" t="s">
        <v>48</v>
      </c>
      <c r="C8" s="2" t="s">
        <v>16</v>
      </c>
      <c r="D8" s="12" t="s">
        <v>49</v>
      </c>
    </row>
    <row r="9" spans="1:4" ht="31.5" customHeight="1">
      <c r="A9" s="2" t="s">
        <v>18</v>
      </c>
      <c r="B9" s="11" t="s">
        <v>19</v>
      </c>
      <c r="C9" s="2" t="s">
        <v>20</v>
      </c>
      <c r="D9" s="11" t="s">
        <v>50</v>
      </c>
    </row>
    <row r="10" spans="1:4" ht="31.5" customHeight="1">
      <c r="A10" s="2" t="s">
        <v>22</v>
      </c>
      <c r="B10" s="12" t="s">
        <v>51</v>
      </c>
      <c r="C10" s="2" t="s">
        <v>24</v>
      </c>
      <c r="D10" s="12" t="s">
        <v>52</v>
      </c>
    </row>
    <row r="11" spans="1:4" ht="31.5" customHeight="1">
      <c r="A11" s="2" t="s">
        <v>26</v>
      </c>
      <c r="B11" s="11" t="s">
        <v>53</v>
      </c>
      <c r="C11" s="2" t="s">
        <v>28</v>
      </c>
      <c r="D11" s="11" t="s">
        <v>54</v>
      </c>
    </row>
    <row r="12" spans="1:4" ht="31.5" customHeight="1">
      <c r="A12" s="2" t="s">
        <v>30</v>
      </c>
      <c r="B12" s="12" t="s">
        <v>55</v>
      </c>
      <c r="C12" s="2" t="s">
        <v>32</v>
      </c>
      <c r="D12" s="12" t="s">
        <v>56</v>
      </c>
    </row>
    <row r="13" spans="1:4" ht="31.5" customHeight="1">
      <c r="A13" s="2" t="s">
        <v>34</v>
      </c>
      <c r="B13" s="11" t="s">
        <v>57</v>
      </c>
      <c r="C13" s="2" t="s">
        <v>36</v>
      </c>
      <c r="D13" s="11" t="s">
        <v>58</v>
      </c>
    </row>
    <row r="14" spans="1:4" ht="51.75" customHeight="1">
      <c r="A14" s="2" t="s">
        <v>38</v>
      </c>
      <c r="B14" s="13" t="s">
        <v>59</v>
      </c>
      <c r="C14" s="2" t="s">
        <v>40</v>
      </c>
      <c r="D14" s="12" t="s">
        <v>60</v>
      </c>
    </row>
    <row r="15" spans="1:4" ht="21.75" customHeight="1">
      <c r="A15" s="22" t="s">
        <v>42</v>
      </c>
      <c r="B15" s="22"/>
      <c r="C15" s="22"/>
      <c r="D15" s="22"/>
    </row>
    <row r="16" spans="1:4" ht="79.5" customHeight="1">
      <c r="A16" s="23" t="s">
        <v>155</v>
      </c>
      <c r="B16" s="24"/>
      <c r="C16" s="24"/>
      <c r="D16" s="24"/>
    </row>
    <row r="17" spans="1:4" ht="19.5" customHeight="1">
      <c r="A17" s="18" t="s">
        <v>43</v>
      </c>
      <c r="B17" s="18"/>
      <c r="C17" s="18"/>
      <c r="D17" s="18"/>
    </row>
    <row r="18" spans="1:4" ht="60" customHeight="1">
      <c r="A18" s="25" t="s">
        <v>61</v>
      </c>
      <c r="B18" s="25"/>
      <c r="C18" s="25"/>
      <c r="D18" s="25"/>
    </row>
    <row r="19" spans="1:4" ht="27.75" customHeight="1">
      <c r="A19" s="26" t="s">
        <v>164</v>
      </c>
      <c r="B19" s="27"/>
      <c r="C19" s="27"/>
      <c r="D19" s="27"/>
    </row>
  </sheetData>
  <mergeCells count="10">
    <mergeCell ref="A15:D15"/>
    <mergeCell ref="A16:D16"/>
    <mergeCell ref="A17:D17"/>
    <mergeCell ref="A18:D18"/>
    <mergeCell ref="A19:D19"/>
    <mergeCell ref="A1:D1"/>
    <mergeCell ref="A2:D2"/>
    <mergeCell ref="A3:B3"/>
    <mergeCell ref="C3:D3"/>
    <mergeCell ref="A4:D4"/>
  </mergeCells>
  <hyperlinks>
    <hyperlink ref="B14" r:id="rId1" xr:uid="{8BC44A58-4539-475D-BC40-F08E75DC9BC5}"/>
  </hyperlinks>
  <pageMargins left="0.28000000000000003" right="0.12" top="1" bottom="1" header="1.02" footer="0.511811023622047"/>
  <pageSetup paperSize="345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A853"/>
  </sheetPr>
  <dimension ref="A1:D19"/>
  <sheetViews>
    <sheetView zoomScaleNormal="100" workbookViewId="0">
      <selection activeCell="D25" sqref="D25"/>
    </sheetView>
  </sheetViews>
  <sheetFormatPr baseColWidth="10" defaultColWidth="8.7109375" defaultRowHeight="15"/>
  <cols>
    <col min="1" max="1" width="22.5703125" customWidth="1"/>
    <col min="2" max="2" width="29.42578125" customWidth="1"/>
    <col min="3" max="3" width="21.5703125" bestFit="1" customWidth="1"/>
    <col min="4" max="4" width="29.140625" customWidth="1"/>
  </cols>
  <sheetData>
    <row r="1" spans="1:4" ht="39.75" customHeight="1">
      <c r="A1" s="16" t="s">
        <v>0</v>
      </c>
      <c r="B1" s="16"/>
      <c r="C1" s="16"/>
      <c r="D1" s="16"/>
    </row>
    <row r="2" spans="1:4" ht="19.5" customHeight="1">
      <c r="A2" s="17" t="s">
        <v>160</v>
      </c>
      <c r="B2" s="18"/>
      <c r="C2" s="18"/>
      <c r="D2" s="18"/>
    </row>
    <row r="3" spans="1:4" ht="102" customHeight="1">
      <c r="A3" s="19"/>
      <c r="B3" s="20"/>
      <c r="C3" s="21" t="s">
        <v>163</v>
      </c>
      <c r="D3" s="21"/>
    </row>
    <row r="4" spans="1:4" ht="21.75" customHeight="1">
      <c r="A4" s="22" t="s">
        <v>1</v>
      </c>
      <c r="B4" s="22"/>
      <c r="C4" s="22"/>
      <c r="D4" s="22"/>
    </row>
    <row r="5" spans="1:4" ht="31.5" customHeight="1">
      <c r="A5" s="2" t="s">
        <v>2</v>
      </c>
      <c r="B5" s="11" t="s">
        <v>62</v>
      </c>
      <c r="C5" s="2" t="s">
        <v>4</v>
      </c>
      <c r="D5" s="14" t="s">
        <v>63</v>
      </c>
    </row>
    <row r="6" spans="1:4" ht="31.5" customHeight="1">
      <c r="A6" s="2" t="s">
        <v>6</v>
      </c>
      <c r="B6" s="12" t="s">
        <v>7</v>
      </c>
      <c r="C6" s="2" t="s">
        <v>8</v>
      </c>
      <c r="D6" s="12" t="s">
        <v>64</v>
      </c>
    </row>
    <row r="7" spans="1:4" ht="31.5" customHeight="1">
      <c r="A7" s="2" t="s">
        <v>10</v>
      </c>
      <c r="B7" s="11" t="s">
        <v>11</v>
      </c>
      <c r="C7" s="2" t="s">
        <v>12</v>
      </c>
      <c r="D7" s="14" t="s">
        <v>13</v>
      </c>
    </row>
    <row r="8" spans="1:4" ht="31.5" customHeight="1">
      <c r="A8" s="2" t="s">
        <v>14</v>
      </c>
      <c r="B8" s="12" t="s">
        <v>65</v>
      </c>
      <c r="C8" s="2" t="s">
        <v>16</v>
      </c>
      <c r="D8" s="12" t="s">
        <v>66</v>
      </c>
    </row>
    <row r="9" spans="1:4" ht="31.5" customHeight="1">
      <c r="A9" s="2" t="s">
        <v>18</v>
      </c>
      <c r="B9" s="11" t="s">
        <v>19</v>
      </c>
      <c r="C9" s="2" t="s">
        <v>20</v>
      </c>
      <c r="D9" s="11" t="s">
        <v>67</v>
      </c>
    </row>
    <row r="10" spans="1:4" ht="31.5" customHeight="1">
      <c r="A10" s="2" t="s">
        <v>22</v>
      </c>
      <c r="B10" s="12" t="s">
        <v>68</v>
      </c>
      <c r="C10" s="2" t="s">
        <v>24</v>
      </c>
      <c r="D10" s="12" t="s">
        <v>69</v>
      </c>
    </row>
    <row r="11" spans="1:4" ht="31.5" customHeight="1">
      <c r="A11" s="2" t="s">
        <v>26</v>
      </c>
      <c r="B11" s="11" t="s">
        <v>70</v>
      </c>
      <c r="C11" s="2" t="s">
        <v>28</v>
      </c>
      <c r="D11" s="11" t="s">
        <v>71</v>
      </c>
    </row>
    <row r="12" spans="1:4" ht="31.5" customHeight="1">
      <c r="A12" s="2" t="s">
        <v>30</v>
      </c>
      <c r="B12" s="12" t="s">
        <v>72</v>
      </c>
      <c r="C12" s="2" t="s">
        <v>32</v>
      </c>
      <c r="D12" s="12" t="s">
        <v>73</v>
      </c>
    </row>
    <row r="13" spans="1:4" ht="31.5" customHeight="1">
      <c r="A13" s="2" t="s">
        <v>34</v>
      </c>
      <c r="B13" s="11" t="s">
        <v>74</v>
      </c>
      <c r="C13" s="2" t="s">
        <v>36</v>
      </c>
      <c r="D13" s="11" t="s">
        <v>75</v>
      </c>
    </row>
    <row r="14" spans="1:4" ht="52.5" customHeight="1">
      <c r="A14" s="2" t="s">
        <v>38</v>
      </c>
      <c r="B14" s="13" t="s">
        <v>76</v>
      </c>
      <c r="C14" s="2" t="s">
        <v>40</v>
      </c>
      <c r="D14" s="12" t="s">
        <v>77</v>
      </c>
    </row>
    <row r="15" spans="1:4" ht="21.75" customHeight="1">
      <c r="A15" s="22" t="s">
        <v>42</v>
      </c>
      <c r="B15" s="22"/>
      <c r="C15" s="22"/>
      <c r="D15" s="22"/>
    </row>
    <row r="16" spans="1:4" ht="79.5" customHeight="1">
      <c r="A16" s="23" t="s">
        <v>154</v>
      </c>
      <c r="B16" s="24"/>
      <c r="C16" s="24"/>
      <c r="D16" s="24"/>
    </row>
    <row r="17" spans="1:4" ht="19.5" customHeight="1">
      <c r="A17" s="18" t="s">
        <v>43</v>
      </c>
      <c r="B17" s="18"/>
      <c r="C17" s="18"/>
      <c r="D17" s="18"/>
    </row>
    <row r="18" spans="1:4" ht="60" customHeight="1">
      <c r="A18" s="25" t="s">
        <v>78</v>
      </c>
      <c r="B18" s="25"/>
      <c r="C18" s="25"/>
      <c r="D18" s="25"/>
    </row>
    <row r="19" spans="1:4" ht="27.75" customHeight="1">
      <c r="A19" s="26" t="s">
        <v>164</v>
      </c>
      <c r="B19" s="27"/>
      <c r="C19" s="27"/>
      <c r="D19" s="27"/>
    </row>
  </sheetData>
  <mergeCells count="10">
    <mergeCell ref="A15:D15"/>
    <mergeCell ref="A16:D16"/>
    <mergeCell ref="A17:D17"/>
    <mergeCell ref="A18:D18"/>
    <mergeCell ref="A19:D19"/>
    <mergeCell ref="A1:D1"/>
    <mergeCell ref="A2:D2"/>
    <mergeCell ref="A3:B3"/>
    <mergeCell ref="C3:D3"/>
    <mergeCell ref="A4:D4"/>
  </mergeCells>
  <hyperlinks>
    <hyperlink ref="B14" r:id="rId1" xr:uid="{A95A87EB-F7FD-4305-B8E1-926FBC0AC19A}"/>
  </hyperlinks>
  <pageMargins left="0.12" right="0.13" top="1" bottom="1" header="0.511811023622047" footer="0.511811023622047"/>
  <pageSetup paperSize="345"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E35"/>
  <sheetViews>
    <sheetView zoomScaleNormal="100" workbookViewId="0">
      <selection activeCell="L13" sqref="L13"/>
    </sheetView>
  </sheetViews>
  <sheetFormatPr baseColWidth="10" defaultColWidth="8.7109375" defaultRowHeight="15"/>
  <cols>
    <col min="1" max="1" width="22.140625" customWidth="1"/>
    <col min="2" max="2" width="16.140625" bestFit="1" customWidth="1"/>
    <col min="3" max="3" width="16.28515625" bestFit="1" customWidth="1"/>
    <col min="4" max="4" width="21.28515625" bestFit="1" customWidth="1"/>
    <col min="5" max="5" width="10.28515625" bestFit="1" customWidth="1"/>
  </cols>
  <sheetData>
    <row r="1" spans="1:5" ht="19.5">
      <c r="A1" s="16" t="s">
        <v>79</v>
      </c>
      <c r="B1" s="16"/>
      <c r="C1" s="16"/>
      <c r="D1" s="16"/>
      <c r="E1" s="16"/>
    </row>
    <row r="2" spans="1:5">
      <c r="A2" s="28" t="s">
        <v>152</v>
      </c>
      <c r="B2" s="28"/>
      <c r="C2" s="28"/>
      <c r="D2" s="28"/>
      <c r="E2" s="28"/>
    </row>
    <row r="3" spans="1:5">
      <c r="A3" s="1" t="s">
        <v>80</v>
      </c>
      <c r="B3" s="1" t="s">
        <v>149</v>
      </c>
      <c r="C3" s="1" t="s">
        <v>150</v>
      </c>
      <c r="D3" s="1" t="s">
        <v>151</v>
      </c>
      <c r="E3" s="1" t="s">
        <v>81</v>
      </c>
    </row>
    <row r="4" spans="1:5">
      <c r="A4" s="29" t="s">
        <v>82</v>
      </c>
      <c r="B4" s="29"/>
      <c r="C4" s="29"/>
      <c r="D4" s="29"/>
      <c r="E4" s="29"/>
    </row>
    <row r="5" spans="1:5" ht="24">
      <c r="A5" s="2" t="s">
        <v>83</v>
      </c>
      <c r="B5" s="3" t="s">
        <v>84</v>
      </c>
      <c r="C5" s="3" t="s">
        <v>85</v>
      </c>
      <c r="D5" s="4" t="s">
        <v>86</v>
      </c>
      <c r="E5" s="5" t="s">
        <v>87</v>
      </c>
    </row>
    <row r="6" spans="1:5">
      <c r="A6" s="2" t="s">
        <v>88</v>
      </c>
      <c r="B6" s="3" t="s">
        <v>89</v>
      </c>
      <c r="C6" s="3" t="s">
        <v>90</v>
      </c>
      <c r="D6" s="4" t="s">
        <v>91</v>
      </c>
      <c r="E6" s="5" t="s">
        <v>87</v>
      </c>
    </row>
    <row r="7" spans="1:5">
      <c r="A7" s="2" t="s">
        <v>92</v>
      </c>
      <c r="B7" s="3" t="s">
        <v>93</v>
      </c>
      <c r="C7" s="3" t="s">
        <v>94</v>
      </c>
      <c r="D7" s="4" t="s">
        <v>95</v>
      </c>
      <c r="E7" s="5" t="s">
        <v>87</v>
      </c>
    </row>
    <row r="8" spans="1:5">
      <c r="A8" s="29" t="s">
        <v>96</v>
      </c>
      <c r="B8" s="29"/>
      <c r="C8" s="29"/>
      <c r="D8" s="29"/>
      <c r="E8" s="29"/>
    </row>
    <row r="9" spans="1:5">
      <c r="A9" s="2" t="s">
        <v>97</v>
      </c>
      <c r="B9" s="6" t="s">
        <v>7</v>
      </c>
      <c r="C9" s="6" t="s">
        <v>7</v>
      </c>
      <c r="D9" s="6" t="s">
        <v>7</v>
      </c>
      <c r="E9" s="7" t="s">
        <v>98</v>
      </c>
    </row>
    <row r="10" spans="1:5">
      <c r="A10" s="2" t="s">
        <v>99</v>
      </c>
      <c r="B10" s="3" t="s">
        <v>100</v>
      </c>
      <c r="C10" s="4" t="s">
        <v>101</v>
      </c>
      <c r="D10" s="3" t="s">
        <v>102</v>
      </c>
      <c r="E10" s="5" t="s">
        <v>103</v>
      </c>
    </row>
    <row r="11" spans="1:5">
      <c r="A11" s="2" t="s">
        <v>10</v>
      </c>
      <c r="B11" s="6" t="s">
        <v>104</v>
      </c>
      <c r="C11" s="6" t="s">
        <v>104</v>
      </c>
      <c r="D11" s="6" t="s">
        <v>104</v>
      </c>
      <c r="E11" s="7" t="s">
        <v>98</v>
      </c>
    </row>
    <row r="12" spans="1:5">
      <c r="A12" s="29" t="s">
        <v>105</v>
      </c>
      <c r="B12" s="29"/>
      <c r="C12" s="29"/>
      <c r="D12" s="29"/>
      <c r="E12" s="29"/>
    </row>
    <row r="13" spans="1:5" ht="24">
      <c r="A13" s="2" t="s">
        <v>14</v>
      </c>
      <c r="B13" s="4" t="s">
        <v>106</v>
      </c>
      <c r="C13" s="3" t="s">
        <v>107</v>
      </c>
      <c r="D13" s="3" t="s">
        <v>108</v>
      </c>
      <c r="E13" s="5" t="s">
        <v>109</v>
      </c>
    </row>
    <row r="14" spans="1:5">
      <c r="A14" s="2" t="s">
        <v>16</v>
      </c>
      <c r="B14" s="6" t="s">
        <v>110</v>
      </c>
      <c r="C14" s="6" t="s">
        <v>111</v>
      </c>
      <c r="D14" s="6" t="s">
        <v>112</v>
      </c>
      <c r="E14" s="7" t="s">
        <v>98</v>
      </c>
    </row>
    <row r="15" spans="1:5">
      <c r="A15" s="29" t="s">
        <v>113</v>
      </c>
      <c r="B15" s="29"/>
      <c r="C15" s="29"/>
      <c r="D15" s="29"/>
      <c r="E15" s="29"/>
    </row>
    <row r="16" spans="1:5">
      <c r="A16" s="2" t="s">
        <v>22</v>
      </c>
      <c r="B16" s="3" t="s">
        <v>114</v>
      </c>
      <c r="C16" s="4" t="s">
        <v>115</v>
      </c>
      <c r="D16" s="3" t="s">
        <v>116</v>
      </c>
      <c r="E16" s="5" t="s">
        <v>103</v>
      </c>
    </row>
    <row r="17" spans="1:5">
      <c r="A17" s="2" t="s">
        <v>24</v>
      </c>
      <c r="B17" s="4" t="s">
        <v>117</v>
      </c>
      <c r="C17" s="3" t="s">
        <v>118</v>
      </c>
      <c r="D17" s="3" t="s">
        <v>118</v>
      </c>
      <c r="E17" s="5" t="s">
        <v>109</v>
      </c>
    </row>
    <row r="18" spans="1:5">
      <c r="A18" s="29" t="s">
        <v>119</v>
      </c>
      <c r="B18" s="29"/>
      <c r="C18" s="29"/>
      <c r="D18" s="29"/>
      <c r="E18" s="29"/>
    </row>
    <row r="19" spans="1:5">
      <c r="A19" s="2" t="s">
        <v>26</v>
      </c>
      <c r="B19" s="6" t="s">
        <v>27</v>
      </c>
      <c r="C19" s="6" t="s">
        <v>120</v>
      </c>
      <c r="D19" s="6" t="s">
        <v>121</v>
      </c>
      <c r="E19" s="7" t="s">
        <v>98</v>
      </c>
    </row>
    <row r="20" spans="1:5">
      <c r="A20" s="2" t="s">
        <v>122</v>
      </c>
      <c r="B20" s="6" t="s">
        <v>123</v>
      </c>
      <c r="C20" s="6" t="s">
        <v>124</v>
      </c>
      <c r="D20" s="6" t="s">
        <v>123</v>
      </c>
      <c r="E20" s="7" t="s">
        <v>98</v>
      </c>
    </row>
    <row r="21" spans="1:5">
      <c r="A21" s="29" t="s">
        <v>125</v>
      </c>
      <c r="B21" s="29"/>
      <c r="C21" s="29"/>
      <c r="D21" s="29"/>
      <c r="E21" s="29"/>
    </row>
    <row r="22" spans="1:5" ht="24">
      <c r="A22" s="2" t="s">
        <v>126</v>
      </c>
      <c r="B22" s="3" t="s">
        <v>127</v>
      </c>
      <c r="C22" s="3" t="s">
        <v>128</v>
      </c>
      <c r="D22" s="4" t="s">
        <v>129</v>
      </c>
      <c r="E22" s="5" t="s">
        <v>87</v>
      </c>
    </row>
    <row r="23" spans="1:5">
      <c r="A23" s="2" t="s">
        <v>130</v>
      </c>
      <c r="B23" s="4" t="s">
        <v>131</v>
      </c>
      <c r="C23" s="3" t="s">
        <v>132</v>
      </c>
      <c r="D23" s="3" t="s">
        <v>133</v>
      </c>
      <c r="E23" s="5" t="s">
        <v>109</v>
      </c>
    </row>
    <row r="24" spans="1:5">
      <c r="A24" s="29" t="s">
        <v>134</v>
      </c>
      <c r="B24" s="29"/>
      <c r="C24" s="29"/>
      <c r="D24" s="29"/>
      <c r="E24" s="29"/>
    </row>
    <row r="25" spans="1:5">
      <c r="A25" s="2" t="s">
        <v>135</v>
      </c>
      <c r="B25" s="4" t="s">
        <v>136</v>
      </c>
      <c r="C25" s="3" t="s">
        <v>137</v>
      </c>
      <c r="D25" s="3" t="s">
        <v>137</v>
      </c>
      <c r="E25" s="5" t="s">
        <v>109</v>
      </c>
    </row>
    <row r="26" spans="1:5">
      <c r="A26" s="2" t="s">
        <v>138</v>
      </c>
      <c r="B26" s="3" t="s">
        <v>139</v>
      </c>
      <c r="C26" s="4" t="s">
        <v>140</v>
      </c>
      <c r="D26" s="3" t="s">
        <v>141</v>
      </c>
      <c r="E26" s="5" t="s">
        <v>103</v>
      </c>
    </row>
    <row r="27" spans="1:5">
      <c r="A27" s="22" t="s">
        <v>142</v>
      </c>
      <c r="B27" s="22"/>
      <c r="C27" s="22"/>
      <c r="D27" s="22"/>
      <c r="E27" s="22"/>
    </row>
    <row r="28" spans="1:5">
      <c r="A28" s="8" t="s">
        <v>143</v>
      </c>
      <c r="B28" s="9" t="s">
        <v>149</v>
      </c>
      <c r="C28" s="9" t="s">
        <v>150</v>
      </c>
      <c r="D28" s="31" t="s">
        <v>151</v>
      </c>
      <c r="E28" s="31"/>
    </row>
    <row r="29" spans="1:5">
      <c r="A29" s="8" t="s">
        <v>144</v>
      </c>
      <c r="B29" s="15">
        <f>COUNTIF($E$4:$E$26,"*AWS*")</f>
        <v>4</v>
      </c>
      <c r="C29" s="15">
        <f>COUNTIF($E$4:$E$26,"*Azure*")</f>
        <v>3</v>
      </c>
      <c r="D29" s="32">
        <f>COUNTIF($E$4:$E$26,"*GCP*")</f>
        <v>4</v>
      </c>
      <c r="E29" s="32"/>
    </row>
    <row r="30" spans="1:5">
      <c r="A30" s="8" t="s">
        <v>145</v>
      </c>
      <c r="B30" s="31">
        <f>COUNTIF($E$4:$E$26,"*Empate*")</f>
        <v>5</v>
      </c>
      <c r="C30" s="31"/>
      <c r="D30" s="31"/>
      <c r="E30" s="31"/>
    </row>
    <row r="31" spans="1:5">
      <c r="A31" s="8" t="s">
        <v>153</v>
      </c>
      <c r="B31" s="31">
        <f>SUM(B29:E30)</f>
        <v>16</v>
      </c>
      <c r="C31" s="31"/>
      <c r="D31" s="31"/>
      <c r="E31" s="31"/>
    </row>
    <row r="32" spans="1:5" ht="16.5">
      <c r="A32" s="33" t="s">
        <v>146</v>
      </c>
      <c r="B32" s="33"/>
      <c r="C32" s="33"/>
      <c r="D32" s="33"/>
      <c r="E32" s="33"/>
    </row>
    <row r="33" spans="1:5" ht="15.75">
      <c r="A33" s="34" t="s">
        <v>147</v>
      </c>
      <c r="B33" s="34"/>
      <c r="C33" s="34"/>
      <c r="D33" s="34"/>
      <c r="E33" s="34"/>
    </row>
    <row r="34" spans="1:5" ht="327" customHeight="1">
      <c r="A34" s="30" t="s">
        <v>148</v>
      </c>
      <c r="B34" s="30"/>
      <c r="C34" s="30"/>
      <c r="D34" s="30"/>
      <c r="E34" s="30"/>
    </row>
    <row r="35" spans="1:5" ht="23.25" customHeight="1">
      <c r="A35" s="26" t="s">
        <v>165</v>
      </c>
      <c r="B35" s="27"/>
      <c r="C35" s="27"/>
      <c r="D35" s="27"/>
      <c r="E35" s="27"/>
    </row>
  </sheetData>
  <mergeCells count="18">
    <mergeCell ref="A34:E34"/>
    <mergeCell ref="A35:E35"/>
    <mergeCell ref="B31:E31"/>
    <mergeCell ref="A15:E15"/>
    <mergeCell ref="A18:E18"/>
    <mergeCell ref="A21:E21"/>
    <mergeCell ref="A24:E24"/>
    <mergeCell ref="A27:E27"/>
    <mergeCell ref="B30:E30"/>
    <mergeCell ref="D28:E28"/>
    <mergeCell ref="D29:E29"/>
    <mergeCell ref="A32:E32"/>
    <mergeCell ref="A33:E33"/>
    <mergeCell ref="A1:E1"/>
    <mergeCell ref="A2:E2"/>
    <mergeCell ref="A4:E4"/>
    <mergeCell ref="A8:E8"/>
    <mergeCell ref="A12:E12"/>
  </mergeCells>
  <pageMargins left="0.75" right="0.75" top="0.34" bottom="0.12" header="0.12" footer="0.12"/>
  <pageSetup paperSize="34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AWS – EC2 t3.large</vt:lpstr>
      <vt:lpstr>Azure – VM B2ms</vt:lpstr>
      <vt:lpstr>GCP – e2-standard-2</vt:lpstr>
      <vt:lpstr>Comparación y Recomendación</vt:lpstr>
      <vt:lpstr>'Azure – VM B2ms'!Área_de_impresión</vt:lpstr>
      <vt:lpstr>'Comparación y Recomendación'!Área_de_impresión</vt:lpstr>
      <vt:lpstr>'GCP – e2-standard-2'!Área_de_impresión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CAMILO ZAMBRANO</cp:lastModifiedBy>
  <cp:revision>0</cp:revision>
  <cp:lastPrinted>2026-06-15T20:23:03Z</cp:lastPrinted>
  <dcterms:created xsi:type="dcterms:W3CDTF">2026-06-15T18:28:44Z</dcterms:created>
  <dcterms:modified xsi:type="dcterms:W3CDTF">2026-06-15T20:24:13Z</dcterms:modified>
  <dc:language>en-US</dc:language>
</cp:coreProperties>
</file>