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WS – EC2 t3.large" sheetId="1" r:id="rId4"/>
    <sheet state="visible" name="Azure – VM B2ms" sheetId="2" r:id="rId5"/>
    <sheet state="visible" name="GCP – e2-standard-2" sheetId="3" r:id="rId6"/>
    <sheet state="visible" name="Comparación y Recomendación" sheetId="4" r:id="rId7"/>
    <sheet state="visible" name="01 - Render.com" sheetId="5" r:id="rId8"/>
    <sheet state="visible" name="02 - Railway.app" sheetId="6" r:id="rId9"/>
    <sheet state="visible" name="03 - Backblaze B2" sheetId="7" r:id="rId10"/>
    <sheet state="visible" name="00 - Resumen Cotización" sheetId="8" r:id="rId11"/>
    <sheet state="visible" name="1. Google Workspace Starter" sheetId="9" r:id="rId12"/>
    <sheet state="visible" name="2. Microsoft 365 Business Basic" sheetId="10" r:id="rId13"/>
    <sheet state="visible" name="3. Zoho Workplace Standard" sheetId="11" r:id="rId14"/>
    <sheet state="visible" name="0. Resumen Comparativo" sheetId="12" r:id="rId15"/>
    <sheet state="visible" name="1. AWS Lambda" sheetId="13" r:id="rId16"/>
    <sheet state="visible" name="2. Google Cloud Functions" sheetId="14" r:id="rId17"/>
    <sheet state="visible" name="3. Azure Functions" sheetId="15" r:id="rId18"/>
    <sheet state="visible" name="4. Comparativa y Recomend. (1)" sheetId="16" r:id="rId19"/>
    <sheet state="visible" name="Google Cloud Run" sheetId="17" r:id="rId20"/>
    <sheet state="visible" name="AWS ECS Fargate" sheetId="18" r:id="rId21"/>
    <sheet state="visible" name="Azure Container Instances" sheetId="19" r:id="rId22"/>
    <sheet state="visible" name="Comparativa y Recomendación" sheetId="20" r:id="rId23"/>
    <sheet state="visible" name="Google Firebase" sheetId="21" r:id="rId24"/>
    <sheet state="visible" name="AWS Amplify" sheetId="22" r:id="rId25"/>
    <sheet state="visible" name="Supabase" sheetId="23" r:id="rId26"/>
    <sheet state="visible" name="Comparativa y Recomendación (1)" sheetId="24" r:id="rId27"/>
    <sheet state="visible" name="1. AWS Rekognition" sheetId="25" r:id="rId28"/>
    <sheet state="visible" name="2. Google Natural Language" sheetId="26" r:id="rId29"/>
    <sheet state="visible" name="3. Azure Computer Vision" sheetId="27" r:id="rId30"/>
    <sheet state="visible" name="4. Comparativa y Recomend." sheetId="28" r:id="rId31"/>
  </sheets>
  <definedNames/>
  <calcPr/>
  <extLst>
    <ext uri="GoogleSheetsCustomDataVersion2">
      <go:sheetsCustomData xmlns:go="http://customooxmlschemas.google.com/" r:id="rId32" roundtripDataChecksum="Etr8J8kGVhRwxh2pccguz9zNm/T2E3g6n+3W+oWl2PA="/>
    </ext>
  </extLst>
</workbook>
</file>

<file path=xl/sharedStrings.xml><?xml version="1.0" encoding="utf-8"?>
<sst xmlns="http://schemas.openxmlformats.org/spreadsheetml/2006/main" count="1763" uniqueCount="1038">
  <si>
    <t>☁️   FICHA TÉCNICA DEL SERVICIO EN LA NUBE</t>
  </si>
  <si>
    <t>Nombre del Servicio: Amazon Web Services (AWS)</t>
  </si>
  <si>
    <t xml:space="preserve">
</t>
  </si>
  <si>
    <t>PRECIO MENSUAL
USD $210,250 / mes</t>
  </si>
  <si>
    <t>ESPECIFICACIONES TÉCNICAS</t>
  </si>
  <si>
    <t>Proveedor</t>
  </si>
  <si>
    <t>Amazon Web Services (AWS)</t>
  </si>
  <si>
    <t>Plan / Modelo</t>
  </si>
  <si>
    <t>EC2 t3.large  |  Propósito General</t>
  </si>
  <si>
    <t>vCPUs  (Procesador Virtual)</t>
  </si>
  <si>
    <t>2 vCPUs</t>
  </si>
  <si>
    <t>Velocidad de CPU</t>
  </si>
  <si>
    <t>Hasta 3.1 GHz  (Intel Xeon Platinum 8000)</t>
  </si>
  <si>
    <t>Memoria RAM</t>
  </si>
  <si>
    <t>8 GB</t>
  </si>
  <si>
    <t>Tipo de RAM</t>
  </si>
  <si>
    <t>DDR4</t>
  </si>
  <si>
    <t>Almacenamiento incluido</t>
  </si>
  <si>
    <t>100 GB</t>
  </si>
  <si>
    <t>Tipo de disco</t>
  </si>
  <si>
    <t>Amazon EBS gp3  (SSD)</t>
  </si>
  <si>
    <t>Aceleración GPU</t>
  </si>
  <si>
    <t>No incluida  (disponible como opción adicional)</t>
  </si>
  <si>
    <t>Sistema Operativo</t>
  </si>
  <si>
    <t>Amazon Linux 2 / Ubuntu 22 / Windows Server</t>
  </si>
  <si>
    <t>Regiones disponibles</t>
  </si>
  <si>
    <t>32 regiones globales</t>
  </si>
  <si>
    <t>Zonas de disponibilidad</t>
  </si>
  <si>
    <t>2–6 zonas por región</t>
  </si>
  <si>
    <t>SLA de disponibilidad</t>
  </si>
  <si>
    <t>99.99%</t>
  </si>
  <si>
    <t>Soporte técnico</t>
  </si>
  <si>
    <t>Básico gratuito  |  Developer/Business de pago</t>
  </si>
  <si>
    <t>Transferencia de datos</t>
  </si>
  <si>
    <t>100 GB salida/mes incluidos</t>
  </si>
  <si>
    <t>Conectividad / APIs</t>
  </si>
  <si>
    <t>REST API / SDK / AWS CLI / CloudFormation</t>
  </si>
  <si>
    <t>Consola / Interfaz</t>
  </si>
  <si>
    <t>AWS Management Console</t>
  </si>
  <si>
    <t>Modalidad de contrato</t>
  </si>
  <si>
    <t xml:space="preserve">Sin contrato </t>
  </si>
  <si>
    <t>URL del servicio</t>
  </si>
  <si>
    <t>https://aws.amazon.com/ec2/instance-types/t3/</t>
  </si>
  <si>
    <t>Código del plan / SKU</t>
  </si>
  <si>
    <t>t3.large  |  us-east-1</t>
  </si>
  <si>
    <t>DESCRIPCIÓN DEL SERVICIO</t>
  </si>
  <si>
    <t>La instancia de AWS ofrece cómputo escalable con tecnología de CPU Burst, permitiendo picos de rendimiento cuando la aplicación lo requiere. Con acceso al ecosistema más amplio del mercado (200+ servicios integrados como S3, RDS, Lambda, SageMaker y CloudWatch), es la plataforma más madura y con mayor disponibilidad de herramientas gestionadas. Ideal para aplicaciones web, bases de datos medianas, entornos de desarrollo y microservicios en producción.</t>
  </si>
  <si>
    <t>NOTAS ADICIONALES / INCLUIDOS EN EL PLAN</t>
  </si>
  <si>
    <t>Incluye: 5 GB Amazon S3 (capa gratuita 12 meses), CloudWatch básico, soporte por foros y documentación oficial, integración nativa con IAM, VPC, Auto Scaling y Load Balancer.</t>
  </si>
  <si>
    <r>
      <rPr>
        <rFont val="Arial"/>
        <i/>
        <color rgb="FF808080"/>
        <sz val="9.0"/>
      </rPr>
      <t xml:space="preserve">Elaborado por: </t>
    </r>
    <r>
      <rPr>
        <rFont val="Arial"/>
        <i/>
        <color rgb="FF808080"/>
        <sz val="9.0"/>
        <u/>
      </rPr>
      <t>Camilo Andres Zambrano Vasquez</t>
    </r>
    <r>
      <rPr>
        <rFont val="Arial"/>
        <i/>
        <color rgb="FF808080"/>
        <sz val="9.0"/>
      </rPr>
      <t xml:space="preserve">     Fecha: </t>
    </r>
    <r>
      <rPr>
        <rFont val="Arial"/>
        <i/>
        <color rgb="FF808080"/>
        <sz val="9.0"/>
        <u/>
      </rPr>
      <t>15/06/2026</t>
    </r>
    <r>
      <rPr>
        <rFont val="Arial"/>
        <i/>
        <color rgb="FF808080"/>
        <sz val="9.0"/>
      </rPr>
      <t xml:space="preserve">     Aprobado por: </t>
    </r>
    <r>
      <rPr>
        <rFont val="Arial"/>
        <i/>
        <color rgb="FF808080"/>
        <sz val="9.0"/>
        <u/>
      </rPr>
      <t>Yesenia Montoya Silva</t>
    </r>
  </si>
  <si>
    <t xml:space="preserve">Nombre del Servicio: Microsoft Azure </t>
  </si>
  <si>
    <t>PRECIO MENSUAL
USD $191,950 / mes</t>
  </si>
  <si>
    <t>Microsoft Azure</t>
  </si>
  <si>
    <t>Virtual Machine B2ms  |  Burstable</t>
  </si>
  <si>
    <t>Hasta 3.2 GHz  (Intel Xeon Platinum 8272CL)</t>
  </si>
  <si>
    <t>16 GB  +  32 GB temporal</t>
  </si>
  <si>
    <t>Premium SSD administrado</t>
  </si>
  <si>
    <t>Windows Server / Ubuntu 22 / Red Hat Enterprise</t>
  </si>
  <si>
    <t>60+ regiones globales</t>
  </si>
  <si>
    <t>3 zonas por región (en regiones principales)</t>
  </si>
  <si>
    <t>99.95%  (VM única)  |  99.99%  (con Availability Set)</t>
  </si>
  <si>
    <t>Developer incluido  |  Standard/Premier de pago</t>
  </si>
  <si>
    <t>5 GB salida/mes incluidos</t>
  </si>
  <si>
    <t>REST API / Azure SDK / Azure CLI / ARM Templates</t>
  </si>
  <si>
    <t>Azure Portal</t>
  </si>
  <si>
    <t>Sin contrato  –  pago por segundo</t>
  </si>
  <si>
    <t>https://azure.microsoft.com/pricing/details/virtual-machines/</t>
  </si>
  <si>
    <t>B2ms  |  eastus</t>
  </si>
  <si>
    <t>La VM de Microsoft Azure es ideal para cargas de trabajo con uso variable de CPU: acumula créditos de procesamiento cuando el uso es bajo y los aplica en momentos de alta demanda. Ofrece integración nativa con el ecosistema Microsoft (Office 365, Active Directory, Dynamics 365 y Teams). Con presencia en 60+ regiones globales –la mayor cobertura geográfica del mercado– Azure es la solución preferida de empresas que ya operan sobre infraestructura Microsoft y necesitan cumplir con regulaciones locales.</t>
  </si>
  <si>
    <t>Incluye: Azure Portal, integración con Azure Active Directory, Microsoft Defender for Cloud (básico), crédito de bienvenida para cuentas nuevas, plan de soporte Developer incluido y monitoreo básico con Azure Monitor.</t>
  </si>
  <si>
    <r>
      <rPr>
        <rFont val="Arial"/>
        <i/>
        <color rgb="FF808080"/>
        <sz val="9.0"/>
      </rPr>
      <t xml:space="preserve">Elaborado por: </t>
    </r>
    <r>
      <rPr>
        <rFont val="Arial"/>
        <i/>
        <color rgb="FF808080"/>
        <sz val="9.0"/>
        <u/>
      </rPr>
      <t>Camilo Andres Zambrano Vasquez</t>
    </r>
    <r>
      <rPr>
        <rFont val="Arial"/>
        <i/>
        <color rgb="FF808080"/>
        <sz val="9.0"/>
      </rPr>
      <t xml:space="preserve">     Fecha: </t>
    </r>
    <r>
      <rPr>
        <rFont val="Arial"/>
        <i/>
        <color rgb="FF808080"/>
        <sz val="9.0"/>
        <u/>
      </rPr>
      <t>15/06/2026</t>
    </r>
    <r>
      <rPr>
        <rFont val="Arial"/>
        <i/>
        <color rgb="FF808080"/>
        <sz val="9.0"/>
      </rPr>
      <t xml:space="preserve">     Aprobado por: </t>
    </r>
    <r>
      <rPr>
        <rFont val="Arial"/>
        <i/>
        <color rgb="FF808080"/>
        <sz val="9.0"/>
        <u/>
      </rPr>
      <t>Yesenia Montoya Silva</t>
    </r>
  </si>
  <si>
    <t>Nombre del Servicio: Google Cloud Platform  (GCP)</t>
  </si>
  <si>
    <t>PRECIO MENSUAL
USD $169,200 / mes</t>
  </si>
  <si>
    <t>Google Cloud Platform  (GCP)</t>
  </si>
  <si>
    <t>Compute Engine e2-standard-2  |  Propósito General</t>
  </si>
  <si>
    <t>Hasta 3.1 GHz  (Intel / AMD – selección automática)</t>
  </si>
  <si>
    <t>50 GB</t>
  </si>
  <si>
    <t>SSD Persistente  (PD-SSD)</t>
  </si>
  <si>
    <t>Debian 12 / Ubuntu 22 / Windows Server / COS</t>
  </si>
  <si>
    <t>40 regiones globales</t>
  </si>
  <si>
    <t>3 zonas por región</t>
  </si>
  <si>
    <t>99.99%  (zona única)  |  99.9999%  (multi-zona)</t>
  </si>
  <si>
    <t>Básico gratuito  |  Enhanced/Premium de pago</t>
  </si>
  <si>
    <t>1 TB entre regiones/mes  (salida a Internet incluida en cuota)</t>
  </si>
  <si>
    <t>REST API / Cloud SDK / gcloud CLI / Terraform</t>
  </si>
  <si>
    <t>Google Cloud Console</t>
  </si>
  <si>
    <t>Sin contrato  –  pago por segundo  +  descuentos automáticos</t>
  </si>
  <si>
    <t>https://cloud.google.com/compute/docs/general-purpose-machines</t>
  </si>
  <si>
    <t>e2-standard-2  |  us-central1</t>
  </si>
  <si>
    <t>La instancia de GCP ofrece la mejor relación precio-rendimiento del mercado para cargas de propósito general. Corre sobre la misma infraestructura de red privada global que usa Google para YouTube, Gmail y la Búsqueda, garantizando latencia ultrabaja y rendimiento consistente. Aplica descuentos por uso sostenido automáticos (hasta 30%) sin necesidad de reservas ni compromisos contractuales, y factura por segundo desde el primer minuto de uso.</t>
  </si>
  <si>
    <t>Incluye: $300 USD de crédito gratuito por 90 días, BigQuery 1 TB/mes gratuito, Cloud Storage 5 GB gratuito, soporte técnico básico por comunidad y documentación, descuentos automáticos por uso sostenido de hasta 30% sin contratos adicionales.</t>
  </si>
  <si>
    <r>
      <rPr>
        <rFont val="Arial"/>
        <i/>
        <color rgb="FF808080"/>
        <sz val="9.0"/>
      </rPr>
      <t xml:space="preserve">Elaborado por: </t>
    </r>
    <r>
      <rPr>
        <rFont val="Arial"/>
        <i/>
        <color rgb="FF808080"/>
        <sz val="9.0"/>
        <u/>
      </rPr>
      <t>Camilo Andres Zambrano Vasquez</t>
    </r>
    <r>
      <rPr>
        <rFont val="Arial"/>
        <i/>
        <color rgb="FF808080"/>
        <sz val="9.0"/>
      </rPr>
      <t xml:space="preserve">     Fecha: </t>
    </r>
    <r>
      <rPr>
        <rFont val="Arial"/>
        <i/>
        <color rgb="FF808080"/>
        <sz val="9.0"/>
        <u/>
      </rPr>
      <t>15/06/2026</t>
    </r>
    <r>
      <rPr>
        <rFont val="Arial"/>
        <i/>
        <color rgb="FF808080"/>
        <sz val="9.0"/>
      </rPr>
      <t xml:space="preserve">     Aprobado por: </t>
    </r>
    <r>
      <rPr>
        <rFont val="Arial"/>
        <i/>
        <color rgb="FF808080"/>
        <sz val="9.0"/>
        <u/>
      </rPr>
      <t>Yesenia Montoya Silva</t>
    </r>
  </si>
  <si>
    <t>☁️   COMPARACIÓN DE SERVICIOS EN LA NUBE</t>
  </si>
  <si>
    <t>Análisis comparativo · Instancias propósito general  (8 GB RAM)</t>
  </si>
  <si>
    <t>CRITERIO</t>
  </si>
  <si>
    <t>AWS</t>
  </si>
  <si>
    <t>Azure</t>
  </si>
  <si>
    <t>GCP</t>
  </si>
  <si>
    <t>GANADOR</t>
  </si>
  <si>
    <t>💰  COSTO</t>
  </si>
  <si>
    <t>Precio mensual estimado</t>
  </si>
  <si>
    <t>$209,750/mes</t>
  </si>
  <si>
    <t>191,550/mes</t>
  </si>
  <si>
    <t>$168,850/mes</t>
  </si>
  <si>
    <t>✅ GCP</t>
  </si>
  <si>
    <t>Modelo de facturación</t>
  </si>
  <si>
    <t>Por hora</t>
  </si>
  <si>
    <t>Por segundo</t>
  </si>
  <si>
    <t>Por segundo + desc. aut.</t>
  </si>
  <si>
    <t>Crédito de bienvenida</t>
  </si>
  <si>
    <t>No disponible</t>
  </si>
  <si>
    <t>Limitado</t>
  </si>
  <si>
    <t>$1,035,850 USD  /  90 días</t>
  </si>
  <si>
    <t>⚙️  CÓMPUTO</t>
  </si>
  <si>
    <t>vCPUs</t>
  </si>
  <si>
    <t>🤝 Empate</t>
  </si>
  <si>
    <t>Velocidad máx. de CPU</t>
  </si>
  <si>
    <t>3.1 GHz</t>
  </si>
  <si>
    <t>3.2 GHz</t>
  </si>
  <si>
    <t>3.1 GHz (Flex)</t>
  </si>
  <si>
    <t>✅ Azure</t>
  </si>
  <si>
    <t>8 GB DDR4</t>
  </si>
  <si>
    <t>💾  ALMACENAMIENTO</t>
  </si>
  <si>
    <t xml:space="preserve">100 GB </t>
  </si>
  <si>
    <t>16 GB + 32 GB</t>
  </si>
  <si>
    <t>✅ AWS</t>
  </si>
  <si>
    <t>SSD (gp3)</t>
  </si>
  <si>
    <t>Premium SSD</t>
  </si>
  <si>
    <t>SSD Persistente</t>
  </si>
  <si>
    <t>🌐  COBERTURA GLOBAL</t>
  </si>
  <si>
    <t>32 regiones</t>
  </si>
  <si>
    <t>60+ regiones</t>
  </si>
  <si>
    <t>40 regiones</t>
  </si>
  <si>
    <t>2–6 por región</t>
  </si>
  <si>
    <t>3 por región</t>
  </si>
  <si>
    <t>🛡️  CONFIABILIDAD</t>
  </si>
  <si>
    <t>99.95% / 99.99%</t>
  </si>
  <si>
    <t>99.99% / 99.9999%</t>
  </si>
  <si>
    <t>Soporte técnico base</t>
  </si>
  <si>
    <t>Básico gratuito</t>
  </si>
  <si>
    <t>Developer incl.</t>
  </si>
  <si>
    <t>📡  CONECTIVIDAD Y RED</t>
  </si>
  <si>
    <t>Transferencia de datos/mes</t>
  </si>
  <si>
    <t>100 GB salida</t>
  </si>
  <si>
    <t>5 GB salida</t>
  </si>
  <si>
    <t>1 TB  (entre regiones)</t>
  </si>
  <si>
    <t>APIs y herramientas</t>
  </si>
  <si>
    <t>SDK/CLI/CFN/200+</t>
  </si>
  <si>
    <t>SDK/CLI/ARM/100+</t>
  </si>
  <si>
    <t>SDK/gcloud/TF/100+</t>
  </si>
  <si>
    <t>🔗  ECOSISTEMA</t>
  </si>
  <si>
    <t>Servicios gestionados</t>
  </si>
  <si>
    <t>200+ servicios</t>
  </si>
  <si>
    <t>100+ servicios</t>
  </si>
  <si>
    <t>Integración empresarial</t>
  </si>
  <si>
    <t>AWS Organizations</t>
  </si>
  <si>
    <t>Azure Active Dir.</t>
  </si>
  <si>
    <t>Google Workspace</t>
  </si>
  <si>
    <t>📊  PUNTUACIÓN CONSOLIDADA</t>
  </si>
  <si>
    <t>Servicio evaluado</t>
  </si>
  <si>
    <t>Criterios ganados</t>
  </si>
  <si>
    <t>Empates</t>
  </si>
  <si>
    <t>Total criterios</t>
  </si>
  <si>
    <t>⭐   RECOMENDACIÓN PARA EL CLIENTE</t>
  </si>
  <si>
    <t>✅   SERVICIO RECOMENDADO:  Google Cloud Platform (GCP)</t>
  </si>
  <si>
    <t>GCP es la mejor opción para el cliente por las siguientes razones:
1. 💰 MEJOR PRECIO DEL MERCADO: A $168,850 mes, GCP es un 19% más económico que Azure y un 19% más económico que AWS para la misma configuración (2 vCPUs / 8 GB RAM). El ahorro anual puede superar los $483,350 frente a AWS solo en costo de instancia.
2. 📡 TRANSFERENCIA DE DATOS SIN RIVAL: 1 TB/mes entre regiones incluido vs. solo 100 GB de AWS y apenas 5 GB de Azure. Para aplicaciones con tráfico moderado-alto, esto evita costos adicionales de red de hasta USD $80–120/mes que los otros proveedores cobrarían por separado.
3. 💳 CRÉDITO DE BIENVENIDA DE $1,035,850 (90 DÍAS): El incentivo más generoso del mercado permite al cliente evaluar y desplegar la solución en producción sin riesgo financiero inicial.
4. 🎯 DESCUENTOS AUTOMÁTICOS SIN COMPROMISOS: GCP aplica descuentos por uso sostenido de hasta el 30% automáticamente cuando la VM funciona más del 25% del mes, sin necesidad de reservas ni contratos de largo plazo.
5. 🛡️ ALTA DISPONIBILIDAD: SLA del 99.99% en zona única y 99.9999% en configuración multi-zona, sobre la misma infraestructura de red privada global que potencia YouTube y Gmail.
6. ⚙️ INFRAESTRUCTURA DE NIVEL MUNDIAL: Baja latencia garantizada, rendimiento de CPU consistente con selección automática Intel/AMD y facturación por segundo desde el primer minuto de uso.</t>
  </si>
  <si>
    <r>
      <rPr>
        <rFont val="Arial"/>
        <i/>
        <color rgb="FF808080"/>
        <sz val="9.0"/>
      </rPr>
      <t xml:space="preserve">Elaborado por: </t>
    </r>
    <r>
      <rPr>
        <rFont val="Arial"/>
        <i/>
        <color rgb="FF808080"/>
        <sz val="9.0"/>
        <u/>
      </rPr>
      <t>Camilo Andres Zambrano Vasquez</t>
    </r>
    <r>
      <rPr>
        <rFont val="Arial"/>
        <i/>
        <color rgb="FF808080"/>
        <sz val="9.0"/>
      </rPr>
      <t xml:space="preserve">     Fecha: </t>
    </r>
    <r>
      <rPr>
        <rFont val="Arial"/>
        <i/>
        <color rgb="FF808080"/>
        <sz val="9.0"/>
        <u/>
      </rPr>
      <t>15/06/2026</t>
    </r>
    <r>
      <rPr>
        <rFont val="Arial"/>
        <i/>
        <color rgb="FF808080"/>
        <sz val="9.0"/>
      </rPr>
      <t xml:space="preserve">    Aprobado por: </t>
    </r>
    <r>
      <rPr>
        <rFont val="Arial"/>
        <i/>
        <color rgb="FF808080"/>
        <sz val="9.0"/>
        <u/>
      </rPr>
      <t>Yesenia Montoya Silva</t>
    </r>
  </si>
  <si>
    <t xml:space="preserve">  ☁  FICHA TÉCNICA DEL SERVICIO EN LA NUBE</t>
  </si>
  <si>
    <t xml:space="preserve">  Nombre del Servicio: RENDER.COM – WEB SERVICE</t>
  </si>
  <si>
    <t>RENDER</t>
  </si>
  <si>
    <t>PRECIO MENSUAL ESTIMADO</t>
  </si>
  <si>
    <t>USD $7.00 / mes  ≈  COP $28,700</t>
  </si>
  <si>
    <t xml:space="preserve">  Servicio N.º 1  |  PaaS – Hosting de Aplicaciones Web  |  Plan: Starter Web Service</t>
  </si>
  <si>
    <t>Render (render.com)</t>
  </si>
  <si>
    <t>Starter Web Service</t>
  </si>
  <si>
    <t>0.5 CPU compartido</t>
  </si>
  <si>
    <t>Hasta 2.4 GHz (Intel)</t>
  </si>
  <si>
    <t>512 MB</t>
  </si>
  <si>
    <t>DDR4 (compartida)</t>
  </si>
  <si>
    <t>Almacenamiento</t>
  </si>
  <si>
    <t>Sin disco persistente (efímero)</t>
  </si>
  <si>
    <t>SSD NVMe</t>
  </si>
  <si>
    <t>Red / Transferencia</t>
  </si>
  <si>
    <t>100 GB salida gratis/mes</t>
  </si>
  <si>
    <t>Ancho de banda entrada</t>
  </si>
  <si>
    <t>Sin límite</t>
  </si>
  <si>
    <t>Linux (Docker-based)</t>
  </si>
  <si>
    <t>Runtime soportado</t>
  </si>
  <si>
    <t>Java, Python, Node, Ruby, Go</t>
  </si>
  <si>
    <t>Oregon (US), Frankfurt (EU), Singapur</t>
  </si>
  <si>
    <t>Zonas de disponib.</t>
  </si>
  <si>
    <t>1 por región</t>
  </si>
  <si>
    <t>99.95%</t>
  </si>
  <si>
    <t>Community + Email</t>
  </si>
  <si>
    <t>Deploy automático</t>
  </si>
  <si>
    <t>Sí – desde GitHub / GitLab</t>
  </si>
  <si>
    <t>SSL gratuito</t>
  </si>
  <si>
    <t>Sí – Let's Encrypt</t>
  </si>
  <si>
    <t>https://render.com/pricing</t>
  </si>
  <si>
    <t>Código del plan</t>
  </si>
  <si>
    <t>starter / web-service</t>
  </si>
  <si>
    <t>Render ofrece una plataforma gestionada ideal para desplegar aplicaciones Spring Boot sin configurar servidores. El plan Starter incluye deploy automático desde GitHub, SSL gratuito, dominios personalizados y protección DDoS básica. Es la opción más económica del mercado para hospedar aplicaciones Java/Spring con escalado manual disponible desde el panel web.</t>
  </si>
  <si>
    <t>Incluye: 100 GB de transferencia saliente, SSL automático, dominio .onrender.com gratuito, integración nativa con GitHub/GitLab para CI/CD automático, variables de entorno cifradas, logs en tiempo real y reinicio automático en caso de caída.</t>
  </si>
  <si>
    <t xml:space="preserve">  Elaborado por: Camilo Andres Zambrano Vásquez</t>
  </si>
  <si>
    <t xml:space="preserve">  Fecha: 15/07/2026</t>
  </si>
  <si>
    <t xml:space="preserve">  Aprobado por: Yesenia Montoya Silva</t>
  </si>
  <si>
    <t xml:space="preserve">  Nombre del Servicio: RAILWAY.APP – BASE DE DATOS</t>
  </si>
  <si>
    <t>RAILWAY</t>
  </si>
  <si>
    <t>USD $5.00 / mes (base)  ≈  COP $20,500</t>
  </si>
  <si>
    <t xml:space="preserve">  Servicio N.º 2  |  PaaS – MySQL Gestionado  |  Plan: Hobby Plan – MySQL Plugin</t>
  </si>
  <si>
    <t>Railway (railway.app)</t>
  </si>
  <si>
    <t>Hobby – MySQL 8 Plugin</t>
  </si>
  <si>
    <t>Shared (burst hasta 8 vCPU)</t>
  </si>
  <si>
    <t>Hasta 3.0 GHz (AMD EPYC)</t>
  </si>
  <si>
    <t>512 MB incluido (escala por uso)</t>
  </si>
  <si>
    <t>DDR4 ECC</t>
  </si>
  <si>
    <t>1 GB incluido + $0.25/GB adicional</t>
  </si>
  <si>
    <t>SSD NVMe persistente</t>
  </si>
  <si>
    <t>Base de datos</t>
  </si>
  <si>
    <t>MySQL 8.0</t>
  </si>
  <si>
    <t>Conexiones máx.</t>
  </si>
  <si>
    <t>Hasta 100 conexiones simultáneas</t>
  </si>
  <si>
    <t>Backups automáticos</t>
  </si>
  <si>
    <t>Sí – diario (7 días retención)</t>
  </si>
  <si>
    <t>Restauración</t>
  </si>
  <si>
    <t>Desde panel en 1 clic</t>
  </si>
  <si>
    <t>US West (Phoenix), EU West (Amsterdam)</t>
  </si>
  <si>
    <t>99.9%</t>
  </si>
  <si>
    <t>Discord Community + GitHub Issues</t>
  </si>
  <si>
    <t>MySQL protocol + Railway CLI</t>
  </si>
  <si>
    <t>Pago por uso mensual</t>
  </si>
  <si>
    <t>https://railway.app/pricing</t>
  </si>
  <si>
    <t>hobby / mysql-plugin</t>
  </si>
  <si>
    <t>Railway ofrece bases de datos MySQL gestionadas sin necesidad de administrar servidores. El plan Hobby parte desde $5 USD/mes de crédito incluido, con facturación por uso real (CPU, RAM, almacenamiento). Ideal para proyectos en desarrollo como PrintSmart 3D. Incluye backups automáticos diarios, acceso por URL de conexión estándar MySQL compatible con Spring Boot / JPA / Hibernate sin configuración adicional.</t>
  </si>
  <si>
    <t>Incluye: $5 USD de crédito mensual en el plan Hobby, backups automáticos 7 días, acceso a Railway CLI para gestión desde terminal, métricas de uso en tiempo real, variables de entorno cifradas y conexión privada entre servicios dentro del mismo proyecto.</t>
  </si>
  <si>
    <t xml:space="preserve">  Nombre del Servicio: BACKBLAZE B2 – ALMACENAMIENTO</t>
  </si>
  <si>
    <t>BACKBLAZE</t>
  </si>
  <si>
    <t>USD $0.30 / mes (50 GB)  ≈  COP $1,230</t>
  </si>
  <si>
    <t xml:space="preserve">  Servicio N.º 3  |  PaaS – Almacenamiento de Objetos S3-Compatible  |  Plan: Pay-as-you-go – B2 Cloud Storage</t>
  </si>
  <si>
    <t>Backblaze (backblaze.com)</t>
  </si>
  <si>
    <t>B2 Cloud Storage – Pay-as-you-go</t>
  </si>
  <si>
    <t>$0.006 USD / GB / mes</t>
  </si>
  <si>
    <t>50 GB estimado</t>
  </si>
  <si>
    <t>$0.30 USD / mes</t>
  </si>
  <si>
    <t>Descarga / Egress</t>
  </si>
  <si>
    <t>$0.01 USD / GB (1 GB/día gratis)</t>
  </si>
  <si>
    <t>Integr. Cloudflare</t>
  </si>
  <si>
    <t>Egress GRATIS con Cloudflare CDN</t>
  </si>
  <si>
    <t>Operaciones Clase B</t>
  </si>
  <si>
    <t>$0.004 por 10,000 llamadas (GET)</t>
  </si>
  <si>
    <t>Operaciones Clase C</t>
  </si>
  <si>
    <t>$0.004 por 1,000 llamadas (PUT)</t>
  </si>
  <si>
    <t>Durabilidad</t>
  </si>
  <si>
    <t>99.999999% (8 nueves)</t>
  </si>
  <si>
    <t>Disponibilidad</t>
  </si>
  <si>
    <t>99.9% SLA</t>
  </si>
  <si>
    <t>Compatibilidad</t>
  </si>
  <si>
    <t>API S3-compatible (AWS SDK funciona)</t>
  </si>
  <si>
    <t>SDK / Clientes</t>
  </si>
  <si>
    <t>Java SDK, Python boto3, CLI</t>
  </si>
  <si>
    <t>US West (Sacramento), EU Central (Amsterdam)</t>
  </si>
  <si>
    <t>3 copias distribuidas por región</t>
  </si>
  <si>
    <t>Tamaño máx. objeto</t>
  </si>
  <si>
    <t>10 TB por archivo</t>
  </si>
  <si>
    <t>Prefijos / Buckets</t>
  </si>
  <si>
    <t>Cifrado</t>
  </si>
  <si>
    <t>AES-256 en tránsito y en reposo</t>
  </si>
  <si>
    <t>Control de acceso</t>
  </si>
  <si>
    <t>ACL + Application Keys por bucket</t>
  </si>
  <si>
    <t>https://www.backblaze.com/b2/cloud-storage-pricing.html</t>
  </si>
  <si>
    <t>Capa gratuita</t>
  </si>
  <si>
    <t>10 GB almacenamiento + 1 GB/día descarga gratis</t>
  </si>
  <si>
    <t>Backblaze B2 es el servicio de almacenamiento de objetos más económico del mercado, hasta 6x más barato que Amazon S3. Es totalmente compatible con la API de AWS S3, por lo que el SDK de Java y Spring ya lo soportan sin cambios de código. Ideal para guardar archivos .STL, .OBJ, imágenes de productos y reportes PDF del sistema PrintSmart 3D. La integración con Cloudflare CDN elimina los costos de descarga para contenido público.</t>
  </si>
  <si>
    <t>Incluye: 10 GB de almacenamiento GRATIS permanente, 1 GB/día de descarga gratis, integración nativa con Cloudflare CDN (egress gratuito), compatibilidad con AWS S3 SDK, cifrado AES-256 en tránsito y en reposo, y panel web para gestión de buckets y archivos.</t>
  </si>
  <si>
    <t xml:space="preserve">  ☁  COTIZACIÓN DE SERVICIOS PaaS – OPCIONES MÁS ECONÓMICAS DEL MERCADO</t>
  </si>
  <si>
    <t xml:space="preserve">  PrintSmart 3D – ML Mecanizados SAS  |  SENA Ficha 3388486  |  N.º COT-2026-002  |  Fecha: 15/07/2026  |  Válida 30 días</t>
  </si>
  <si>
    <t>#</t>
  </si>
  <si>
    <t>SERVICIO / PROVEEDOR</t>
  </si>
  <si>
    <t>PLAN</t>
  </si>
  <si>
    <t>USD / mes</t>
  </si>
  <si>
    <t>COP / mes</t>
  </si>
  <si>
    <t>SLA</t>
  </si>
  <si>
    <t>01</t>
  </si>
  <si>
    <t>Render.com – Web Service (Starter)</t>
  </si>
  <si>
    <t>Starter / web-service</t>
  </si>
  <si>
    <t>$7.00</t>
  </si>
  <si>
    <t>$28,700</t>
  </si>
  <si>
    <t>02</t>
  </si>
  <si>
    <t>Railway.app – MySQL Gestionado (Hobby)</t>
  </si>
  <si>
    <t>Hobby / mysql-plugin</t>
  </si>
  <si>
    <t>$5.00</t>
  </si>
  <si>
    <t>$20,500</t>
  </si>
  <si>
    <t>99.90%</t>
  </si>
  <si>
    <t>03</t>
  </si>
  <si>
    <t>Backblaze B2 – Almacenamiento (50 GB)</t>
  </si>
  <si>
    <t>Pay-as-you-go / B2 Standard</t>
  </si>
  <si>
    <t>$0.30</t>
  </si>
  <si>
    <t>$1,230</t>
  </si>
  <si>
    <t>SUBTOTAL (3 servicios / mes):</t>
  </si>
  <si>
    <t>$12.30</t>
  </si>
  <si>
    <t>$50,430</t>
  </si>
  <si>
    <t>IVA 19% (referencia Colombia):</t>
  </si>
  <si>
    <t>+$2.34</t>
  </si>
  <si>
    <t>+$9,582</t>
  </si>
  <si>
    <t>TOTAL MENSUAL ESTIMADO (IVA incl.):</t>
  </si>
  <si>
    <t>$14.64</t>
  </si>
  <si>
    <t>$60,012</t>
  </si>
  <si>
    <t>JUSTIFICACIÓN DE SELECCIÓN</t>
  </si>
  <si>
    <t xml:space="preserve">  01 – Render.com:  Seleccionado por ser la opción PaaS más económica para Spring Boot. Deploy automático desde GitHub, SSL gratuito y $0 de costo de configuración. 6x más barato que AWS Elastic Beanstalk.</t>
  </si>
  <si>
    <t xml:space="preserve">  02 – Railway.app:  MySQL gestionado desde $5/mes con backups automáticos y compatible al 100% con Spring Data JPA. Hasta 20x más barato que Amazon RDS en configuración equivalente.</t>
  </si>
  <si>
    <t xml:space="preserve">  03 – Backblaze B2:  Almacenamiento S3-compatible más económico del mercado. $0.006/GB vs $0.023/GB de Amazon S3. Compatible con AWS Java SDK sin cambios de código. Egress gratis con Cloudflare CDN.</t>
  </si>
  <si>
    <t xml:space="preserve">  PrintSmart 3D  |  ML Mecanizados SAS  |  SENA – Ficha 3388486  |  Colombia, 2026  |  Cotización N.º COT-2026-002</t>
  </si>
  <si>
    <t xml:space="preserve">  ●  FICHA TÉCNICA DEL SERVICIO EN LA NUBE (SaaS)</t>
  </si>
  <si>
    <t xml:space="preserve">  Nombre del Servicio: Google Workspace Starter</t>
  </si>
  <si>
    <t>PRECIO MENSUAL
USD $60 / mes
(10 usuarios × $6/usuario)</t>
  </si>
  <si>
    <t>Plan: Starter / Básico
URL: https://workspace.google.com/intl/es/pricing/</t>
  </si>
  <si>
    <t>Característica</t>
  </si>
  <si>
    <t>Valor</t>
  </si>
  <si>
    <t>Google LLC</t>
  </si>
  <si>
    <t>Workspace Starter</t>
  </si>
  <si>
    <t>30 GB / usuario (Drive + Gmail)</t>
  </si>
  <si>
    <t>Tipo de almacenamiento</t>
  </si>
  <si>
    <t>Nube (Google Cloud)</t>
  </si>
  <si>
    <t>Correo corporativo</t>
  </si>
  <si>
    <t>Gmail @tudominio.com</t>
  </si>
  <si>
    <t>Límite adjuntos</t>
  </si>
  <si>
    <t>25 MB por correo</t>
  </si>
  <si>
    <t>Videoconferencia</t>
  </si>
  <si>
    <t>Google Meet (hasta 100 part.)</t>
  </si>
  <si>
    <t>Grabación</t>
  </si>
  <si>
    <t>No incluida (plan básico)</t>
  </si>
  <si>
    <t>Colaboración</t>
  </si>
  <si>
    <t>Docs, Sheets, Slides, Forms, Sites</t>
  </si>
  <si>
    <t>Edición simultánea</t>
  </si>
  <si>
    <t>Sí, en tiempo real</t>
  </si>
  <si>
    <t>Administración</t>
  </si>
  <si>
    <t>Google Admin Console</t>
  </si>
  <si>
    <t>Soporte estándar</t>
  </si>
  <si>
    <t>Mensual / Anual</t>
  </si>
  <si>
    <t>Centros de datos globales</t>
  </si>
  <si>
    <t>Multi-región</t>
  </si>
  <si>
    <t>REST API / Admin SDK / Marketplace</t>
  </si>
  <si>
    <t>Idioma de interfaz</t>
  </si>
  <si>
    <t>Español / Multi-idioma</t>
  </si>
  <si>
    <t>Admin Console (web)</t>
  </si>
  <si>
    <t>GWS-ST-ULC-1M</t>
  </si>
  <si>
    <t>Google Workspace Starter es la solución colaborativa en la nube más utilizada por pequeñas y medianas empresas. Integra correo electrónico profesional con Gmail, almacenamiento compartido en Drive, herramientas de productividad (Docs, Sheets, Slides) y videoconferencias con Meet. Todo administrado desde una única consola web. Ideal para equipos que ya usan servicios Google y buscan profesionalizar su comunicación.</t>
  </si>
  <si>
    <t>Incluye: Gmail Business, Google Meet (100 participantes), Google Drive 30 GB/usuario, Docs / Sheets / Slides / Forms / Sites, Google Admin Console, migración de correo gratuita, integración nativa con Calendar y Chat, acceso desde cualquier dispositivo.</t>
  </si>
  <si>
    <t>RESUMEN DE COTIZACIÓN</t>
  </si>
  <si>
    <t>Precio por usuario / mes</t>
  </si>
  <si>
    <t>USD $6.00</t>
  </si>
  <si>
    <t>Número de usuarios</t>
  </si>
  <si>
    <t>10</t>
  </si>
  <si>
    <t>Subtotal mensual</t>
  </si>
  <si>
    <t>USD $60.00</t>
  </si>
  <si>
    <t>Subtotal anual (×12)</t>
  </si>
  <si>
    <t>USD $720.00</t>
  </si>
  <si>
    <t>Elaborado por: Equipo PrintSmart 3D   |   Fecha: 20/07/2026   |   Aprobado por: Instructor SENA</t>
  </si>
  <si>
    <t xml:space="preserve">  Nombre del Servicio: Microsoft 365 Business Basic</t>
  </si>
  <si>
    <t>Microsoft 365</t>
  </si>
  <si>
    <t>Plan: Business Basic
URL: https://www.microsoft.com/es-co/microsoft-365/business/</t>
  </si>
  <si>
    <t>Microsoft Corporation</t>
  </si>
  <si>
    <t>M365 Business Basic</t>
  </si>
  <si>
    <t>1 TB / usuario (OneDrive) + 50 GB/correo</t>
  </si>
  <si>
    <t>Nube (Azure Cloud)</t>
  </si>
  <si>
    <t>Outlook/Exchange @tudominio.com</t>
  </si>
  <si>
    <t>150 MB por correo</t>
  </si>
  <si>
    <t>Microsoft Teams (hasta 300 part.)</t>
  </si>
  <si>
    <t>Sí (incluida en Teams)</t>
  </si>
  <si>
    <t>Word, Excel, PowerPoint Online, Forms</t>
  </si>
  <si>
    <t>Microsoft Admin Center</t>
  </si>
  <si>
    <t>Soporte estándar 24/7</t>
  </si>
  <si>
    <t>Datacenters globales (60+ regiones)</t>
  </si>
  <si>
    <t>Microsoft Graph API / Power Automate</t>
  </si>
  <si>
    <t>Microsoft 365 Admin Center (web)</t>
  </si>
  <si>
    <t>MICROSOFT_365_BUSINESS_BASIC</t>
  </si>
  <si>
    <t>Microsoft 365 Business Basic es la solución empresarial de Microsoft diseñada para organizaciones de hasta 300 usuarios. Combina correo electrónico con Exchange, almacenamiento masivo en OneDrive (1 TB por usuario), videoconferencias con Teams (hasta 300 participantes con grabación incluida), y acceso a las versiones web de Word, Excel y PowerPoint. Totalmente integrado con el ecosistema Microsoft, compatible con Windows y macOS. Ideal para empresas que requieren comunicación robusta y herramientas de oficina estándar de la industria.</t>
  </si>
  <si>
    <t>Incluye: Exchange 50 GB/usuario, OneDrive 1 TB/usuario, Microsoft Teams con videoconferencia y grabación, SharePoint, versiones web de Word / Excel / PowerPoint, Microsoft Forms, administración centralizada, soporte técnico 24/7, SSO (inicio de sesión único), cumplimiento GDPR y protección básica contra amenazas (EOP).</t>
  </si>
  <si>
    <t xml:space="preserve">  Nombre del Servicio: Zoho Workplace Standard</t>
  </si>
  <si>
    <t>Zoho Workplace</t>
  </si>
  <si>
    <t>PRECIO MENSUAL
USD $30 / mes
(10 usuarios × $3/usuario)</t>
  </si>
  <si>
    <t>Plan: Workplace Standard
URL: https://www.zoho.com/es-xl/workplace/pricing.html</t>
  </si>
  <si>
    <t>Zoho Corporation</t>
  </si>
  <si>
    <t>Workplace Standard</t>
  </si>
  <si>
    <t>30 GB / usuario (Mail + WorkDrive)</t>
  </si>
  <si>
    <t>Nube (Zoho Cloud)</t>
  </si>
  <si>
    <t>Zoho Mail @tudominio.com</t>
  </si>
  <si>
    <t>250 MB por correo</t>
  </si>
  <si>
    <t>Zoho Meeting (hasta 100 part.)</t>
  </si>
  <si>
    <t>Sí (incluida)</t>
  </si>
  <si>
    <t>Writer, Sheet, Show, WorkDrive, Cliq</t>
  </si>
  <si>
    <t>Zoho Mail Admin Panel</t>
  </si>
  <si>
    <t>10 centros de datos globales</t>
  </si>
  <si>
    <t>REST API / IMAP / CalDAV / CardDAV</t>
  </si>
  <si>
    <t>Zoho Admin Console (web)</t>
  </si>
  <si>
    <t>ZOHO-WP-STD</t>
  </si>
  <si>
    <t>Zoho Workplace Standard es la alternativa más económica entre las suites colaborativas empresariales premium. Ofrece correo corporativo con Zoho Mail, almacenamiento compartido con WorkDrive, mensajería instantánea con Cliq, videoconferencias con grabación incluida en Zoho Meeting, y herramientas de ofimática online (Writer, Sheet, Show). Destacado por su interfaz limpia, alto límite de adjuntos (250 MB) y privacidad sin publicidad. Recomendado para startups y PYMEs que buscan el mejor precio sin sacrificar funcionalidad.</t>
  </si>
  <si>
    <t>Incluye: Zoho Mail 30 GB/usuario, Zoho Meeting con grabación, WorkDrive (almacenamiento colaborativo), Zoho Cliq (mensajería), Writer / Sheet / Show (ofimática online), Zoho Calendar, Contacts, Tasks, BookWidgets, Admin Panel completo, migración de correo gratuita, dominio personalizado, sin anuncios ni rastreo de datos.</t>
  </si>
  <si>
    <t>USD $3.00</t>
  </si>
  <si>
    <t>USD $30.00</t>
  </si>
  <si>
    <t>USD $360.00</t>
  </si>
  <si>
    <t>COTIZACIÓN COMPARATIVA DE SERVICIOS SaaS EN LA NUBE — 2026</t>
  </si>
  <si>
    <t xml:space="preserve">  Cliente: ML Mecanizados SAS   |   Proyecto: PrintSmart 3D   |   Usuarios base: 10</t>
  </si>
  <si>
    <t>Criterio / Servicio</t>
  </si>
  <si>
    <t>Microsoft 365 Basic</t>
  </si>
  <si>
    <t>Microsoft Corp.</t>
  </si>
  <si>
    <t>Zoho Corp.</t>
  </si>
  <si>
    <t>Plan</t>
  </si>
  <si>
    <t>Starter</t>
  </si>
  <si>
    <t>Business Basic</t>
  </si>
  <si>
    <t>Workplace Std</t>
  </si>
  <si>
    <t>Precio / usuario / mes (USD)</t>
  </si>
  <si>
    <t>$6.00</t>
  </si>
  <si>
    <t>$3.00</t>
  </si>
  <si>
    <t>Total mensual (10 usuarios)</t>
  </si>
  <si>
    <t>$60.00</t>
  </si>
  <si>
    <t>$30.00</t>
  </si>
  <si>
    <t>Total anual (10 usuarios)</t>
  </si>
  <si>
    <t>$720.00</t>
  </si>
  <si>
    <t>$360.00</t>
  </si>
  <si>
    <t>Almacenamiento / usuario</t>
  </si>
  <si>
    <t>30 GB</t>
  </si>
  <si>
    <t>1 TB (OneDrive)</t>
  </si>
  <si>
    <t>Gmail</t>
  </si>
  <si>
    <t>Exchange/Outlook</t>
  </si>
  <si>
    <t>Zoho Mail</t>
  </si>
  <si>
    <t>Adjunto máximo</t>
  </si>
  <si>
    <t>25 MB</t>
  </si>
  <si>
    <t>150 MB</t>
  </si>
  <si>
    <t>250 MB</t>
  </si>
  <si>
    <t>Meet (100 part.)</t>
  </si>
  <si>
    <t>Teams (300 part.)</t>
  </si>
  <si>
    <t>Meeting (100 p.)</t>
  </si>
  <si>
    <t>Grabación incluida</t>
  </si>
  <si>
    <t>No</t>
  </si>
  <si>
    <t>Sí</t>
  </si>
  <si>
    <t>Mensajería instantánea</t>
  </si>
  <si>
    <t>Google Chat</t>
  </si>
  <si>
    <t>Microsoft Teams</t>
  </si>
  <si>
    <t>Zoho Cliq</t>
  </si>
  <si>
    <t>Ofimática online</t>
  </si>
  <si>
    <t>Docs/Sheets/Slides</t>
  </si>
  <si>
    <t>Word/Excel/PPT</t>
  </si>
  <si>
    <t>Writer/Sheet/Show</t>
  </si>
  <si>
    <t>SLA disponibilidad</t>
  </si>
  <si>
    <t>Estándar</t>
  </si>
  <si>
    <t>24/7</t>
  </si>
  <si>
    <t>★ Mejor opción para...</t>
  </si>
  <si>
    <t>Ecosistema Google</t>
  </si>
  <si>
    <t>Ecosistema MS/Teams</t>
  </si>
  <si>
    <t>Menor costo total</t>
  </si>
  <si>
    <t>★  RECOMENDACIÓN FINAL PARA EL CLIENTE</t>
  </si>
  <si>
    <t>Para ML Mecanizados SAS con 10 usuarios y presupuesto ajustado, se recomienda:
1. OPCIÓN ECONÓMICA: Zoho Workplace Standard a USD $30/mes ($360/año). Mejor relación costo-beneficio, incluye grabación de reuniones y adjuntos de 250 MB.
2. OPCIÓN ESTÁNDAR: Google Workspace Starter o Microsoft 365 Business Basic, ambos a USD $60/mes. Microsoft ofrece 1 TB/usuario y Teams robusto; Google es ideal si ya usan servicios Google.
Nota: Todos los precios son en USD y pueden variar según convenios locales con distribuidores.</t>
  </si>
  <si>
    <t>Elaborado por: Equipo PrintSmart 3D   |   Fecha: 20/07/2026   |   Ficha: SENA ADSO — Centro Electricidad</t>
  </si>
  <si>
    <t>⚡   FICHA TÉCNICA DEL SERVICIO EN LA NUBE   (FaaS – Funciones sin Servidores)</t>
  </si>
  <si>
    <t>Nombre del Servicio:  AWS Lambda</t>
  </si>
  <si>
    <t>Λ  AWS</t>
  </si>
  <si>
    <t>PRECIO MENSUAL
USD $4.80 / mes
Estimado: 5 M ejecuciones/mes, 256 MB RAM, 500 ms promedio</t>
  </si>
  <si>
    <t>Consumption Plan (Pay-as-you-go)</t>
  </si>
  <si>
    <t>Tipo de Servicio</t>
  </si>
  <si>
    <t>FaaS – Funciones sin Servidores</t>
  </si>
  <si>
    <t>Modelo de Pago</t>
  </si>
  <si>
    <t>Pago por ejecución + tiempo de cómputo</t>
  </si>
  <si>
    <t>Tiempo de Ejecución Máx.</t>
  </si>
  <si>
    <t>15 minutos por invocación</t>
  </si>
  <si>
    <t>Cold Start Promedio</t>
  </si>
  <si>
    <t>100 ms – 1 s (según runtime)</t>
  </si>
  <si>
    <t>Memoria RAM Configurable</t>
  </si>
  <si>
    <t>128 MB hasta 10,240 MB (10 GB)</t>
  </si>
  <si>
    <t>Almacenamiento Temporal</t>
  </si>
  <si>
    <t>512 MB – 10 GB (/tmp efímero)</t>
  </si>
  <si>
    <t>Lenguajes Soportados</t>
  </si>
  <si>
    <t>Node.js, Python, Java, Ruby, C#, Go, PowerShell + runtimes custom</t>
  </si>
  <si>
    <t>Tipos de Disparadores (Triggers)</t>
  </si>
  <si>
    <t>HTTP, S3, DynamoDB, SQS, SNS, EventBridge, CloudWatch, Kinesis</t>
  </si>
  <si>
    <t>SLA de Disponibilidad</t>
  </si>
  <si>
    <t>Soporte Técnico</t>
  </si>
  <si>
    <t>Básico gratuito | Developer/Business de pago</t>
  </si>
  <si>
    <t>Concurrencia Máxima</t>
  </si>
  <si>
    <t>1,000 ejecuciones concurrentes (ajustable a miles)</t>
  </si>
  <si>
    <t>Escalado Automático</t>
  </si>
  <si>
    <t>Escala a 0 automáticamente (sin costo en reposo)</t>
  </si>
  <si>
    <t>Precio / 1M ejecuciones</t>
  </si>
  <si>
    <t>USD $0.20 por millón (tras capa gratuita)</t>
  </si>
  <si>
    <t>Precio / GB-segundo</t>
  </si>
  <si>
    <t>USD $0.0000166667 por GB-s (tras capa gratuita)</t>
  </si>
  <si>
    <t>URL del Servicio</t>
  </si>
  <si>
    <t>https://aws.amazon.com/lambda/</t>
  </si>
  <si>
    <t>Código del Plan / SKU</t>
  </si>
  <si>
    <t>lambda | us-east-1 | Consumption</t>
  </si>
  <si>
    <t>🆓 Capa Gratuita</t>
  </si>
  <si>
    <t>1 M ejecuciones/mes + 400,000 GB-s/mes – PERMANENTE ✓✓</t>
  </si>
  <si>
    <t>Uso Estimado</t>
  </si>
  <si>
    <t>5 M ejecuciones/mes · 256 MB · 500 ms</t>
  </si>
  <si>
    <t>AWS Lambda es el servicio FaaS pionero y más maduro del mercado. Permite ejecutar código en respuesta a eventos sin aprovisionar ni gestionar servidores. Solo se paga por el tiempo de ejecución exacto (en incrementos de 1 ms). Integra de forma nativa con más de 200 servicios de AWS. Ideal para APIs REST, procesamiento de archivos 3D subidos a S3, automatización de cálculos de costos de impresión y notificaciones automáticas de pedidos en el sistema PrintSmart 3D.</t>
  </si>
  <si>
    <t>Incluye: 1 millón de ejecuciones y 400,000 GB-segundos GRATIS por mes de forma permanente. Soporte de hasta 10 GB de RAM y ejecuciones de hasta 15 minutos. Compatible con contenedores Docker (hasta 10 GB). Integración directa con API Gateway para exponer endpoints HTTP. Monitoreo integrado con CloudWatch sin costo adicional. Sin costo en estado de reposo.</t>
  </si>
  <si>
    <t>Elaborado por: Camilo Andrés Zambrano Vásquez</t>
  </si>
  <si>
    <t>Fecha: 15/06/2026</t>
  </si>
  <si>
    <t>Aprobado por: Yesenia Montoya Silva</t>
  </si>
  <si>
    <t>Nombre del Servicio:  Google Cloud Functions (Gen 2)</t>
  </si>
  <si>
    <t>Ƒ  GOOGLE CLOUD</t>
  </si>
  <si>
    <t>PRECIO MENSUAL
USD $3.60 / mes
Estimado: 5 M invocaciones/mes, 256 MB RAM, 500 ms promedio</t>
  </si>
  <si>
    <t>Google Cloud Platform (GCP)</t>
  </si>
  <si>
    <t>Pay-as-you-go (Gen 2 – basado en Cloud Run)</t>
  </si>
  <si>
    <t>Pago por invocación + tiempo de cómputo</t>
  </si>
  <si>
    <t>60 minutos por invocación (Gen 2)</t>
  </si>
  <si>
    <t>50 ms – 2 s (Gen 2 más rápido que Gen 1)</t>
  </si>
  <si>
    <t>128 MB hasta 32,768 MB (32 GB) Gen 2</t>
  </si>
  <si>
    <t>Hasta 32 GB con Cloud Storage (montaje en la función)</t>
  </si>
  <si>
    <t>Node.js, Python, Go, Java, Ruby, PHP, .NET Core</t>
  </si>
  <si>
    <t>HTTP, Pub/Sub, Firestore, Cloud Storage, Firebase, Eventarc, BigQuery</t>
  </si>
  <si>
    <t>Básico gratuito | Premium Support de pago</t>
  </si>
  <si>
    <t>Hasta 1,000 solicitudes por instancia (Gen 2)</t>
  </si>
  <si>
    <t>Precio / 1M invocaciones</t>
  </si>
  <si>
    <t>USD $0.40 por millón (tras capa gratuita)</t>
  </si>
  <si>
    <t>USD $0.0000100 por GB-s (menor que AWS en cómputo)</t>
  </si>
  <si>
    <t>https://cloud.google.com/functions</t>
  </si>
  <si>
    <t>cloudfunctions | us-central1 | gen2</t>
  </si>
  <si>
    <t>2 M invocaciones/mes + 400,000 GB-s/mes – PERMANENTE ✓✓</t>
  </si>
  <si>
    <t>5 M invocaciones/mes · 256 MB · 500 ms</t>
  </si>
  <si>
    <t>Google Cloud Functions (Gen 2) está construido sobre Cloud Run y ofrece tiempos de ejecución de hasta 60 minutos, mayor concurrencia y más opciones de memoria que la competencia. Integra de forma nativa con Firebase (ideal para apps móviles), Pub/Sub, BigQuery y Firestore. Compatible con eventos en tiempo real de Google Analytics y YouTube Data API. Ideal para automatizar flujos de trabajo del sistema PrintSmart 3D, procesar pedidos entrantes, enviar notificaciones a clientes y generar reportes automáticos.</t>
  </si>
  <si>
    <t>Incluye: 2 millones de invocaciones + 400,000 GB-segundos GRATIS por mes de forma PERMANENTE (mayor capa gratuita que AWS Lambda y Azure). Capa gratuita de cómputo también incluye 200,000 GHz-segundos de CPU. Sin tarjeta de crédito para empezar en muchos planes. Documentación completa en español. Facturación por milisegundo de ejecución real.</t>
  </si>
  <si>
    <t>Nombre del Servicio:  Azure Functions</t>
  </si>
  <si>
    <t>Ƒ  AZURE</t>
  </si>
  <si>
    <t>PRECIO MENSUAL
USD $4.64 / mes
Estimado: 5 M ejecuciones/mes, 256 MB RAM, 500 ms promedio</t>
  </si>
  <si>
    <t>Consumption Plan (Serverless)</t>
  </si>
  <si>
    <t>10 minutos (Consumption) / Ilimitado (Premium)</t>
  </si>
  <si>
    <t>200 ms – 3 s (Consumption plan)</t>
  </si>
  <si>
    <t>Hasta 1,536 MB (Consumption plan)</t>
  </si>
  <si>
    <t>1 GB de almacenamiento temporal</t>
  </si>
  <si>
    <t>C#, JavaScript, Python, Java, F#, PowerShell, TypeScript</t>
  </si>
  <si>
    <t>HTTP, Timer, Blob Storage, Queue Storage, Cosmos DB, Service Bus, Event Hub, Event Grid</t>
  </si>
  <si>
    <t>200 instancias paralelas (Consumption)</t>
  </si>
  <si>
    <t>USD $0.000016 por GB-s (tras capa gratuita)</t>
  </si>
  <si>
    <t>https://azure.microsoft.com/services/functions/</t>
  </si>
  <si>
    <t>functions-consumption | eastus | Y1</t>
  </si>
  <si>
    <t>Azure Functions es la solución FaaS de Microsoft, profundamente integrada con el ecosistema Microsoft 365, Power Automate, Logic Apps y Cosmos DB. Soporta Durable Functions para flujos de trabajo con estado (stateful workflows), una capacidad única frente a la competencia. Ideal para integrarse con Power BI para reportes automáticos, SharePoint para gestión documental y Teams para notificaciones internas. Perfecta si el cliente ya usa el ecosistema Microsoft en su empresa (Office 365, Teams, Power Platform).</t>
  </si>
  <si>
    <t>Incluye: 1 millón de ejecuciones + 400,000 GB-segundos GRATIS por mes de forma PERMANENTE. Soporte para Durable Functions (flujos con estado, aprobaciones, encadenamiento de tareas). Integración con Azure DevOps para CI/CD. Compatible con Visual Studio y VS Code. SDK disponible en C#, JavaScript, Python y Java. Monitoreo integrado con Application Insights.</t>
  </si>
  <si>
    <t>⚡   COMPARATIVA DE SERVICIOS FaaS – COTIZACIÓN CLIENTE</t>
  </si>
  <si>
    <t>Funciones sin Servidores (Function as a Service)   |   Selección de los 3 servicios más económicos del mercado</t>
  </si>
  <si>
    <t>CRITERIO DE COMPARACIÓN</t>
  </si>
  <si>
    <t>AWS Lambda</t>
  </si>
  <si>
    <t>Google Cloud Functions (Gen 2)</t>
  </si>
  <si>
    <t>Azure Functions</t>
  </si>
  <si>
    <t>Proveedor / Empresa</t>
  </si>
  <si>
    <t>FaaS – Serverless</t>
  </si>
  <si>
    <t>💰 Precio Mensual Estimado
(5 M ejecuciones/mes
256 MB · 500 ms)</t>
  </si>
  <si>
    <t>USD $4.80 / mes</t>
  </si>
  <si>
    <t>USD $3.60 / mes  🏆</t>
  </si>
  <si>
    <t>USD $4.64 / mes</t>
  </si>
  <si>
    <t>🆓 Capa Gratuita
(Permanente)</t>
  </si>
  <si>
    <t>1 M ejecuciones/mes
+ 400,000 GB-s/mes ✓</t>
  </si>
  <si>
    <t>2 M invocaciones/mes
+ 400,000 GB-s/mes ✓✓</t>
  </si>
  <si>
    <t>Precio por 1M ejecuciones
adicionales</t>
  </si>
  <si>
    <t>USD $0.20 / millón</t>
  </si>
  <si>
    <t>USD $0.40 / millón
(pero mayor capa gratuita)</t>
  </si>
  <si>
    <t>Precio por GB-segundo
(cómputo)</t>
  </si>
  <si>
    <t>$0.0000166667 / GB-s</t>
  </si>
  <si>
    <t>$0.0000100 / GB-s  ✓
(más barato en cómputo)</t>
  </si>
  <si>
    <t>$0.0000160000 / GB-s</t>
  </si>
  <si>
    <t>Tiempo Máx. de Ejecución</t>
  </si>
  <si>
    <t>15 minutos  ✓</t>
  </si>
  <si>
    <t>60 minutos  ✓✓</t>
  </si>
  <si>
    <t>10 min (Consumption)
Ilimitado (Premium)</t>
  </si>
  <si>
    <t>Memoria RAM Máxima</t>
  </si>
  <si>
    <t>10,240 MB (10 GB)  ✓✓</t>
  </si>
  <si>
    <t>32,768 MB (32 GB)  ✓✓✓</t>
  </si>
  <si>
    <t>1,536 MB (Consumption)
Mayor en Premium</t>
  </si>
  <si>
    <t>100 ms – 1 s</t>
  </si>
  <si>
    <t>50 ms – 2 s  ✓</t>
  </si>
  <si>
    <t>200 ms – 3 s</t>
  </si>
  <si>
    <t>Concurrencia</t>
  </si>
  <si>
    <t>1,000 concurrent
(ajustable) ✓</t>
  </si>
  <si>
    <t>1,000 req/instancia (Gen 2) ✓✓</t>
  </si>
  <si>
    <t>200 instancias paralelas</t>
  </si>
  <si>
    <t>Node.js, Python, Java,
Ruby, C#, Go, PowerShell + custom</t>
  </si>
  <si>
    <t>Node.js, Python, Go,
Java, Ruby, PHP, .NET</t>
  </si>
  <si>
    <t>C#, JS, Python, Java,
F#, PowerShell, TypeScript</t>
  </si>
  <si>
    <t>Disparadores (Triggers)</t>
  </si>
  <si>
    <t>200+ servicios AWS
(S3, SQS, DynamoDB, etc.)</t>
  </si>
  <si>
    <t>HTTP, Pub/Sub,
Firestore, Firebase, Eventarc</t>
  </si>
  <si>
    <t>HTTP, Timer, Cosmos DB,
Service Bus, Event Grid</t>
  </si>
  <si>
    <t>Integración Ecosistema</t>
  </si>
  <si>
    <t>AWS (S3, RDS, API Gateway,
CloudWatch, EC2…)</t>
  </si>
  <si>
    <t>Google (Firebase, BigQuery,
Sheets, Workspace…)</t>
  </si>
  <si>
    <t>Microsoft (Office 365,
Teams, Power BI, Azure…)</t>
  </si>
  <si>
    <t>Flujos con Estado
(Stateful Workflows)</t>
  </si>
  <si>
    <t>AWS Step Functions
(servicio separado)</t>
  </si>
  <si>
    <t>No nativo
(requiere Firestore)</t>
  </si>
  <si>
    <t>Durable Functions
(incluido) ✓✓</t>
  </si>
  <si>
    <t>Facilidad de Implementación</t>
  </si>
  <si>
    <t>Media-Alta</t>
  </si>
  <si>
    <t>Alta  ✓</t>
  </si>
  <si>
    <t>Alta (con VS Code)  ✓</t>
  </si>
  <si>
    <t>Soporte en Español</t>
  </si>
  <si>
    <t>Documentación parcial</t>
  </si>
  <si>
    <t>Documentación completa ✓✓</t>
  </si>
  <si>
    <t>★ Puntuación General /10</t>
  </si>
  <si>
    <t>8.5</t>
  </si>
  <si>
    <t>9.5  🥇</t>
  </si>
  <si>
    <t>⭐   RECOMENDACIÓN FINAL AL CLIENTE</t>
  </si>
  <si>
    <t>🥇  MEJOR OPCIÓN:  Google Cloud Functions Gen 2  (★ 9.5/10)</t>
  </si>
  <si>
    <t>¿Por qué Google Cloud Functions
es la mejor opción?</t>
  </si>
  <si>
    <t>✅ Capa gratuita DOBLE: 2 millones de invocaciones/mes (vs. 1M de AWS y Azure).
✅ Precio de cómputo más bajo: $0.0000100/GB-s vs. $0.0000166667 (AWS) y $0.000016 (Azure).
✅ Mayor memoria RAM disponible: hasta 32 GB por función (4x más que AWS Lambda).
✅ Tiempo de ejecución de hasta 60 minutos (4x más que AWS, 6x más que Azure Consumption).
✅ Precio estimado mensual más bajo: USD $3.60/mes para el escenario de 5M ejecuciones.</t>
  </si>
  <si>
    <t>Segunda opción recomendada:
AWS Lambda</t>
  </si>
  <si>
    <t>⚡ Mejor opción si el cliente ya tiene servicios en AWS (EC2, S3, RDS).
⚡ Ecosistema más maduro y con más de 200 servicios nativos integrables.
⚡ Permite runtimes personalizados con contenedores Docker (hasta 10 GB).
⚡ API Gateway incluida para exponer funciones como endpoints HTTP REST.
Precio: USD $4.80/mes para 5M ejecuciones (USD $1.20 más que GCP).</t>
  </si>
  <si>
    <t>Tercera opción:
Azure Functions</t>
  </si>
  <si>
    <t>ℹ️  Recomendada si el cliente usa Microsoft 365, Teams o Power Platform.
ℹ️  Única opción con Durable Functions: flujos con estado, aprobaciones y encadenamiento.
ℹ️  Ideal para integrar con Power BI (reportes automáticos) y SharePoint.
ℹ️  Limitación: solo 1,536 MB de RAM en plan Consumption (la más baja de las tres).
Precio: USD $4.64/mes para 5M ejecuciones (similar a AWS Lambda).</t>
  </si>
  <si>
    <t>💡 Ventaja clave de FaaS
para el cliente</t>
  </si>
  <si>
    <t>Los 3 servicios escalan a CERO automáticamente: si no hay pedidos, el costo es $0.00.
No se paga por servidores ociosos: perfecto para negocios con demanda variable.
Implementar un sistema de notificaciones automáticas de pedidos en PrintSmart 3D
costaría literalmente $0.00/mes con cualquiera de estas opciones (dentro del Free Tier).
La escala solo se factura cuando supera los millones de ejecuciones mensuales.</t>
  </si>
  <si>
    <t>🚀 Caso de uso concreto
para PrintSmart 3D</t>
  </si>
  <si>
    <t>Función 1 (HTTP Trigger): Recibir pedido → calcular costo → guardar en BD → $0.00/mes.
Función 2 (Timer Trigger): Notificar clientes con pedidos pendientes cada hora → $0.00/mes.
Función 3 (Storage Trigger): Cuando el cliente sube un archivo STL → procesar automáticamente.
Costo total estimado para estos 3 flujos: USD $0.00 – $3.60/mes con Google Cloud Functions.
Recomendación de inicio: comenzar con el Free Tier y monitorear el consumo real.</t>
  </si>
  <si>
    <t>●  FICHA TÉCNICA DEL SERVICIO EN LA NUBE  –  CaaS (Contenedores)</t>
  </si>
  <si>
    <t>Nombre del Servicio: Google Cloud Run</t>
  </si>
  <si>
    <t>☁ Google Cloud Run</t>
  </si>
  <si>
    <t>USD $6.30 / mes</t>
  </si>
  <si>
    <t>35+ regiones globales</t>
  </si>
  <si>
    <t>Cloud Run – Serverless Containers</t>
  </si>
  <si>
    <t>2–4 zonas por región</t>
  </si>
  <si>
    <t>vCPUs (Virtual)</t>
  </si>
  <si>
    <t>0.5 vCPU (escalable hasta 8 vCPU)</t>
  </si>
  <si>
    <t>Hasta 3.1 GHz (Intel / AMD)</t>
  </si>
  <si>
    <t>Gratuito (Community) | Premium de pago</t>
  </si>
  <si>
    <t>1 GB (escalable hasta 32 GB)</t>
  </si>
  <si>
    <t>1 GB salida/mes GRATIS, luego $0.085/GB</t>
  </si>
  <si>
    <t>Google Cloud Console / gcloud CLI</t>
  </si>
  <si>
    <t>REST API / gRPC / Cloud SDK</t>
  </si>
  <si>
    <t>Sin almacenamiento en bloque</t>
  </si>
  <si>
    <t>Sin contrato – Pago por uso</t>
  </si>
  <si>
    <t>No incluida</t>
  </si>
  <si>
    <t>cloud-run-container-instance-1</t>
  </si>
  <si>
    <t>Google Distroless / Linux Container</t>
  </si>
  <si>
    <t>https://cloud.google.com/run</t>
  </si>
  <si>
    <t>Google Cloud Run ejecuta contenedores Docker sin gestionar servidores. Solo se cobra cuando el contenedor procesa solicitudes (escala a cero en inactividad). Ideal para microservicios, APIs REST, aplicaciones web de tráfico variable y pipelines de datos. Integración nativa con Cloud Build, Artifact Registry, Pub/Sub y Firebase. Soporte para múltiples lenguajes vía imagen Docker.</t>
  </si>
  <si>
    <t>INCLUIDO GRATIS CADA MES: 2 millones de solicitudes, 360,000 vCPU-segundos, 180,000 GB-segundos de memoria. Precio estimado basado en carga baja (~240 h activas/mes, 0.5 vCPU, 1 GB RAM). Fuente de precios: cloud.google.com/run/pricing</t>
  </si>
  <si>
    <t>Elaborado por:  Camilo Andres Zambrano Vásquez</t>
  </si>
  <si>
    <t>Fecha:  15/06/2026</t>
  </si>
  <si>
    <t>Aprobado por:  Yesenia Montoya Silva</t>
  </si>
  <si>
    <t>Nombre del Servicio: AWS ECS Fargate</t>
  </si>
  <si>
    <t>☁ AWS ECS Fargate</t>
  </si>
  <si>
    <t>USD $18.03 / mes</t>
  </si>
  <si>
    <t>30+ regiones globales</t>
  </si>
  <si>
    <t>ECS Fargate – Serverless Containers</t>
  </si>
  <si>
    <t>0.5 vCPU (min 0.25 – max 16 vCPU)</t>
  </si>
  <si>
    <t>Hasta 3.1 GHz (Intel Xeon / AWS Graviton)</t>
  </si>
  <si>
    <t>1 GB (min 0.5 GB – max 120 GB)</t>
  </si>
  <si>
    <t>100 GB salida/mes GRATIS (primeros 12 meses)</t>
  </si>
  <si>
    <t>AWS Management Console / AWS CLI</t>
  </si>
  <si>
    <t>20 GB efímero incluido (máx 200 GB)</t>
  </si>
  <si>
    <t>Amazon EBS (opcional) / efímero</t>
  </si>
  <si>
    <t>No incluida (disponible en EC2 GPU)</t>
  </si>
  <si>
    <t>AmazonECS-Fargate-vCPU-Hours:us-east-1</t>
  </si>
  <si>
    <t>Amazon Linux 2 / Windows Server / Custom</t>
  </si>
  <si>
    <t>https://aws.amazon.com/fargate/</t>
  </si>
  <si>
    <t>AWS ECS Fargate permite ejecutar contenedores sin administrar servidores ni clústeres. Compatible con Docker y orquestado mediante Amazon ECS o EKS. Factura por vCPU y memoria reservada por segundo. Integración completa con IAM, VPC, ALB, CloudWatch, ECR (repositorio de imágenes) y más de 200 servicios AWS. Recomendado para cargas de trabajo predecibles y pipelines CI/CD.</t>
  </si>
  <si>
    <t>Precio estimado: 0.5 vCPU × $0.04048/h × 730 h = $14.78 + 1 GB × $0.004445/h × 730 h = $3.25. Total: $18.03/mes (carga continua 24/7). Sin capa gratuita perpetua para Fargate. Fuente de precios: aws.amazon.com/fargate/pricing/</t>
  </si>
  <si>
    <t>Nombre del Servicio: Azure Container Instances</t>
  </si>
  <si>
    <t>☁ Azure Container Instances</t>
  </si>
  <si>
    <t>USD $19.85 / mes</t>
  </si>
  <si>
    <t>Azure Container Instances (ACI) – Standard</t>
  </si>
  <si>
    <t>3 zonas por región (depende de la región)</t>
  </si>
  <si>
    <t>0.5 vCPU (min 0.25 – max 4 vCPU)</t>
  </si>
  <si>
    <t>Hasta 3.5 GHz (Intel Xeon)</t>
  </si>
  <si>
    <t>Gratuito básico | Developer/Standard de pago</t>
  </si>
  <si>
    <t>1 GB (min 0.5 GB – max 16 GB)</t>
  </si>
  <si>
    <t>5 GB salida/mes GRATIS</t>
  </si>
  <si>
    <t>Azure Portal / Azure CLI / ARM Templates</t>
  </si>
  <si>
    <t>Sin disco persistente (Azure Files opcional)</t>
  </si>
  <si>
    <t>REST API / Azure SDK / Bicep / Terraform</t>
  </si>
  <si>
    <t>Azure Files (SMB 3.0) como volumen</t>
  </si>
  <si>
    <t>Sin contrato – Pago por segundo</t>
  </si>
  <si>
    <t>No incluida (disponible como opción adicional)</t>
  </si>
  <si>
    <t>ACI-Linux-vCore-Seconds / eastus</t>
  </si>
  <si>
    <t>Linux (Alpine, Ubuntu, Debian) / Windows</t>
  </si>
  <si>
    <t>https://azure.microsoft.com/services/container-instances/</t>
  </si>
  <si>
    <t>Azure Container Instances (ACI) es la forma más rápida de ejecutar contenedores en la nube de Microsoft sin administrar máquinas virtuales. Factura por segundo de uso real. Compatible con imágenes Docker Hub y Azure Container Registry (ACR). Integración nativa con Azure Virtual Network, Active Directory, Monitor y Logic Apps. Ideal para tareas batch, trabajos programados y microservicios ligeros.</t>
  </si>
  <si>
    <t>Precio estimado: 0.5 vCPU × $0.0000125/s × 2,628,000 s = $16.43 + 1 GB × $0.0000013/s × 2,628,000 s = $3.42. Total: $19.85/mes (carga continua). Fuente de precios: azure.microsoft.com/pricing/details/container-instances/</t>
  </si>
  <si>
    <t>●  COMPARATIVA DE SERVICIOS CaaS (CONTENEDORES EN LA NUBE)</t>
  </si>
  <si>
    <t>Análisis comparativo de los 3 servicios CaaS más económicos del mercado – Cliente: ML Mecanizados SAS</t>
  </si>
  <si>
    <t>Google Cloud Run</t>
  </si>
  <si>
    <t>AWS ECS Fargate</t>
  </si>
  <si>
    <t>Azure Container Instances</t>
  </si>
  <si>
    <t>Google Cloud</t>
  </si>
  <si>
    <t>Amazon AWS</t>
  </si>
  <si>
    <t>Tipo de servicio</t>
  </si>
  <si>
    <t>CaaS Serverless</t>
  </si>
  <si>
    <t>Cloud Run – Básico</t>
  </si>
  <si>
    <t>ECS Fargate – Básico</t>
  </si>
  <si>
    <t>ACI – Standard Linux</t>
  </si>
  <si>
    <t>Precio mensual est.</t>
  </si>
  <si>
    <t>$6.30 USD/mes ✔</t>
  </si>
  <si>
    <t>$18.03 USD/mes</t>
  </si>
  <si>
    <t>$19.85 USD/mes</t>
  </si>
  <si>
    <t>vCPU configurada</t>
  </si>
  <si>
    <t>0.5 vCPU</t>
  </si>
  <si>
    <t>1 GB</t>
  </si>
  <si>
    <t>Efímero</t>
  </si>
  <si>
    <t>20 GB efímero incl.</t>
  </si>
  <si>
    <t>Efímero (Azure Files opc.)</t>
  </si>
  <si>
    <t>GPU disponible</t>
  </si>
  <si>
    <t>No (opc. en EC2)</t>
  </si>
  <si>
    <t>No (opc. adicional)</t>
  </si>
  <si>
    <t>Linux Container</t>
  </si>
  <si>
    <t>Amazon Linux 2</t>
  </si>
  <si>
    <t>Linux / Windows</t>
  </si>
  <si>
    <t>Regiones globales</t>
  </si>
  <si>
    <t>35+</t>
  </si>
  <si>
    <t>30+</t>
  </si>
  <si>
    <t>60+</t>
  </si>
  <si>
    <t>SLA Disponibilidad</t>
  </si>
  <si>
    <t>99.99% ✔</t>
  </si>
  <si>
    <t>Escala a cero</t>
  </si>
  <si>
    <t>Sí ✔</t>
  </si>
  <si>
    <t>2M req/mes GRATIS ✔</t>
  </si>
  <si>
    <t>No perpetua</t>
  </si>
  <si>
    <t>Limitada</t>
  </si>
  <si>
    <t>Transferencia salida</t>
  </si>
  <si>
    <t>1 GB GRATIS/mes</t>
  </si>
  <si>
    <t>100 GB (12 meses)</t>
  </si>
  <si>
    <t>5 GB GRATIS/mes</t>
  </si>
  <si>
    <t>Interfaz / Consola</t>
  </si>
  <si>
    <t>GCP Console/gcloud</t>
  </si>
  <si>
    <t>AWS Console/CLI</t>
  </si>
  <si>
    <t>Azure Portal/CLI</t>
  </si>
  <si>
    <t>Contrato mínimo</t>
  </si>
  <si>
    <t>Ninguno ✔</t>
  </si>
  <si>
    <t>Facilidad de uso</t>
  </si>
  <si>
    <t>Alta ✔</t>
  </si>
  <si>
    <t>Media</t>
  </si>
  <si>
    <t>Ecosistema / Integrac.</t>
  </si>
  <si>
    <t>Firebase, Pub/Sub</t>
  </si>
  <si>
    <t>200+ servicios AWS</t>
  </si>
  <si>
    <t>Azure AD, Logic Apps</t>
  </si>
  <si>
    <t>Modelo de cobro</t>
  </si>
  <si>
    <t>Por segundo activo</t>
  </si>
  <si>
    <t>Por segundo reserv.</t>
  </si>
  <si>
    <t>Ideal para</t>
  </si>
  <si>
    <t>Tráfico variable</t>
  </si>
  <si>
    <t>Carga continua</t>
  </si>
  <si>
    <t>Batch / Trabajos cortos</t>
  </si>
  <si>
    <t>PUNTUACIÓN PONDERADA (1–5)</t>
  </si>
  <si>
    <t>Criterio (ponderación)</t>
  </si>
  <si>
    <t>Precio mensual (35%)</t>
  </si>
  <si>
    <t>4.8</t>
  </si>
  <si>
    <t>3.5</t>
  </si>
  <si>
    <t>3.2</t>
  </si>
  <si>
    <t>Facilidad de despliegue (20%)</t>
  </si>
  <si>
    <t>4.5</t>
  </si>
  <si>
    <t>SLA / Disponibilidad (20%)</t>
  </si>
  <si>
    <t>4.0</t>
  </si>
  <si>
    <t>5.0</t>
  </si>
  <si>
    <t>Escala a cero (15%)</t>
  </si>
  <si>
    <t>2.0</t>
  </si>
  <si>
    <t>2.5</t>
  </si>
  <si>
    <t>Ecosistema / Soporte (10%)</t>
  </si>
  <si>
    <t>PUNTAJE TOTAL PONDERADO</t>
  </si>
  <si>
    <t>4.53 / 5.00</t>
  </si>
  <si>
    <t>3.72 / 5.00</t>
  </si>
  <si>
    <t>3.45 / 5.00</t>
  </si>
  <si>
    <t>✅  RECOMENDACIÓN AL CLIENTE – ML Mecanizados SAS</t>
  </si>
  <si>
    <t>SERVICIO RECOMENDADO:  Google Cloud Run
Con base en el análisis comparativo de los 3 servicios CaaS evaluados, se recomienda Google Cloud Run como la opción más conveniente para ML Mecanizados SAS, por las siguientes razones:
1. MENOR COSTO:  Precio estimado de USD $6.30/mes (el más bajo de los tres). Además, ofrece 2 millones de solicitudes gratuitas al mes, lo que puede reducir aún más el costo en las etapas iniciales del proyecto PrintSmart 3D.
2. ESCALA A CERO:  Si el servicio no recibe tráfico, el costo baja a $0. Esto es ideal para una empresa en crecimiento que aún no tiene tráfico constante.
3. SIMPLICIDAD:  Despliegue en minutos usando Docker. Sin necesidad de gestionar servidores, clústeres Kubernetes ni infraestructura compleja.
4. INTEGRACIÓN:  Compatible con Firebase, Cloud Build, Artifact Registry y los demás servicios de Google Cloud que se irán adoptando con la evolución del proyecto.
NOTA: Si en el futuro la aplicación requiere carga continua 24/7 con tráfico predecible, se sugiere reevaluar AWS ECS Fargate por su mayor SLA (99.99%) y ecosistema más amplio.</t>
  </si>
  <si>
    <t>◆  FICHA TÉCNICA DEL SERVICIO EN LA NUBE  –  BaaS (Backend para Aplicaciones)</t>
  </si>
  <si>
    <t>Nombre del Servicio: Google Firebase</t>
  </si>
  <si>
    <t>🔥 Google Firebase</t>
  </si>
  <si>
    <t>USD $8.50 / mes</t>
  </si>
  <si>
    <t>API REST</t>
  </si>
  <si>
    <t>Sí – REST API nativa para Firestore y RTDB</t>
  </si>
  <si>
    <t>Firebase – Plan Blaze (Pay As You Go)</t>
  </si>
  <si>
    <t>Analítica integrada</t>
  </si>
  <si>
    <t>Google Analytics for Firebase (GRATIS)</t>
  </si>
  <si>
    <t>Autenticación</t>
  </si>
  <si>
    <t>Email, Google, Facebook, GitHub, Anónimo, SAML</t>
  </si>
  <si>
    <t>35+ regiones globales (multi-región disponible)</t>
  </si>
  <si>
    <t>Base de datos (NoSQL)</t>
  </si>
  <si>
    <t>Cloud Firestore (1 GB almacenamiento incluido)</t>
  </si>
  <si>
    <t>Base de datos tiempo real</t>
  </si>
  <si>
    <t>Firebase Realtime Database (1 GB almacenamiento)</t>
  </si>
  <si>
    <t>Usuarios activos (MAU)</t>
  </si>
  <si>
    <t>10.000 autenticaciones gratuitas / mes</t>
  </si>
  <si>
    <t>Almacenamiento archivos</t>
  </si>
  <si>
    <t>Firebase Storage – 5 GB incluidos</t>
  </si>
  <si>
    <t>Comunidad gratuita | Firebase Support de pago</t>
  </si>
  <si>
    <t>Funciones backend</t>
  </si>
  <si>
    <t>Cloud Functions – 2M invocaciones/mes GRATIS</t>
  </si>
  <si>
    <t>10 GB salida/mes GRATIS, luego $0.12/GB</t>
  </si>
  <si>
    <t>Hosting web</t>
  </si>
  <si>
    <t>Firebase Hosting – 10 GB / 360 MB día GRATIS</t>
  </si>
  <si>
    <t>Firebase Console + CLI + REST API</t>
  </si>
  <si>
    <t>Push Notifications</t>
  </si>
  <si>
    <t>Firebase Cloud Messaging (FCM) – GRATIS ilimitado</t>
  </si>
  <si>
    <t>Sin contrato – Pago por uso (Blaze)</t>
  </si>
  <si>
    <t>SDK / Lenguajes</t>
  </si>
  <si>
    <t>JavaScript, Swift, Kotlin, Java, Flutter, C++, Unity</t>
  </si>
  <si>
    <t>https://firebase.google.com/pricing</t>
  </si>
  <si>
    <t>Firebase es la plataforma BaaS más popular del mercado, desarrollada por Google. Proporciona autenticación de usuarios, base de datos en tiempo real (Firestore y RTDB), almacenamiento de archivos, hosting web, funciones serverless, notificaciones push y analítica integrada, todo en un solo SDK. Compatible con aplicaciones web, iOS, Android y Flutter. El plan Blaze permite escalar sin límite pagando solo por lo que se usa, ideal para proyectos en crecimiento como PrintSmart 3D. Integración nativa con todos los servicios de Google Cloud (BigQuery, Vision AI, Vertex AI, etc.).</t>
  </si>
  <si>
    <t>CAPA GRATUITA INCLUIDA: 50.000 lecturas/día, 20.000 escrituras/día, 20.000 eliminaciones/día en Firestore · 10 GB hosting · 1 GB Realtime DB · 2M Cloud Functions/mes · FCM ilimitado. Precio estimado $8.50/mes basado en app pequeña con ~1.000 MAU, 500 MB Firestore, uso moderado de Functions. Fuente: firebase.google.com/pricing</t>
  </si>
  <si>
    <t>Nombre del Servicio: AWS Amplify</t>
  </si>
  <si>
    <t>☁ AWS Amplify</t>
  </si>
  <si>
    <t>USD $12.00 / mes</t>
  </si>
  <si>
    <t>Amazon Pinpoint – 100 MAU GRATIS</t>
  </si>
  <si>
    <t>AWS Amplify – Pago por uso</t>
  </si>
  <si>
    <t>Amazon Cognito – 50.000 MAU GRATIS / mes</t>
  </si>
  <si>
    <t>99.99% (Cognito, DynamoDB)</t>
  </si>
  <si>
    <t>AWS AppSync (GraphQL) + DynamoDB o RDS</t>
  </si>
  <si>
    <t>50.000 MAU GRATIS (Cognito)</t>
  </si>
  <si>
    <t>Amazon S3 – 5 GB GRATIS (primeros 12 meses)</t>
  </si>
  <si>
    <t>Básico gratuito | Developer $29/mes | Business $100/mes</t>
  </si>
  <si>
    <t>AWS Lambda – 1M invocaciones/mes GRATIS</t>
  </si>
  <si>
    <t>1 GB salida/mes GRATIS, luego $0.09/GB</t>
  </si>
  <si>
    <t>Amplify Hosting – 1.000 min build/mes GRATIS</t>
  </si>
  <si>
    <t>AWS Management Console + Amplify Studio + CLI</t>
  </si>
  <si>
    <t>Amazon SNS / Pinpoint</t>
  </si>
  <si>
    <t>JavaScript, React, Angular, Vue, iOS, Android, Flutter</t>
  </si>
  <si>
    <t>AWS-Amplify-Build-Minutes / us-east-1</t>
  </si>
  <si>
    <t>API REST / GraphQL</t>
  </si>
  <si>
    <t>API Gateway (REST) + AppSync (GraphQL)</t>
  </si>
  <si>
    <t>https://aws.amazon.com/amplify/pricing/</t>
  </si>
  <si>
    <t>AWS Amplify es el framework BaaS de Amazon que conecta front-ends (React, Angular, Vue, Flutter) con servicios gestionados de AWS. Proporciona autenticación (Cognito), API GraphQL (AppSync), API REST (API Gateway), almacenamiento (S3), funciones serverless (Lambda), hosting (Amplify Hosting) y analítica (Pinpoint). Compatible con el ecosistema completo de AWS (+200 servicios). Amplify Studio permite crear backends visualmente sin código. Ideal para equipos con experiencia en AWS que buscan escalar sin límite de forma controlada.</t>
  </si>
  <si>
    <t>Precio estimado $12.00/mes basado en: ~1.000 MAU Cognito (dentro de capa gratuita), 1 GB S3 ($0.023), AppSync 500K solicitudes ($1.00), Lambda 500K invocaciones (gratis), API Gateway 1M llamadas ($3.50), Amplify Hosting 5 GB ($0.115) + build minutes. Fuente: aws.amazon.com/amplify/pricing/</t>
  </si>
  <si>
    <t>Nombre del Servicio: Supabase</t>
  </si>
  <si>
    <t>⚡ Supabase</t>
  </si>
  <si>
    <t>USD $25.00 / mes</t>
  </si>
  <si>
    <t>Supabase Inc. (infraestructura en AWS us-east-1)</t>
  </si>
  <si>
    <t>Supabase Dashboard + Logs en tiempo real</t>
  </si>
  <si>
    <t>Supabase – Plan Pro ($25 fijo/mes)</t>
  </si>
  <si>
    <t>12 regiones (AWS us/eu/ap) – en expansión</t>
  </si>
  <si>
    <t>Email, OAuth (Google, GitHub, GitLab, etc.), Magic Link, SMS</t>
  </si>
  <si>
    <t>PostgreSQL 15 – 8 GB almacenamiento incluido</t>
  </si>
  <si>
    <t>100.000 MAU incluidos/mes</t>
  </si>
  <si>
    <t>Supabase Storage – 100 GB incluidos</t>
  </si>
  <si>
    <t>Email prioritario + Community (Discord 30K+ miembros)</t>
  </si>
  <si>
    <t>Edge Functions (Deno) – 2M invocaciones/mes incluidas</t>
  </si>
  <si>
    <t>250 GB bandwidth incluidos/mes</t>
  </si>
  <si>
    <t>No incluido (requiere servicio externo)</t>
  </si>
  <si>
    <t>Supabase Studio (UI) + CLI + REST API + Dashboard</t>
  </si>
  <si>
    <t>No nativo (integración vía webhooks / Resend)</t>
  </si>
  <si>
    <t>Sin contrato – Facturación mensual</t>
  </si>
  <si>
    <t>JavaScript, TypeScript, Python, Dart/Flutter, Swift, Kotlin</t>
  </si>
  <si>
    <t>supabase-pro-monthly</t>
  </si>
  <si>
    <t>REST API auto-generada + GraphQL vía pg_graphql</t>
  </si>
  <si>
    <t>https://supabase.com/pricing</t>
  </si>
  <si>
    <t>Supabase es la alternativa open-source a Firebase construida sobre PostgreSQL. Ofrece base de datos relacional completa (PostgreSQL 15), autenticación, almacenamiento de archivos, Edge Functions (Deno), Realtime (WebSockets), API REST auto-generada y GraphQL, todo en un precio fijo mensual. Al ser open-source, puede auto-alojarse si se necesita mayor control. Soporta Row Level Security (RLS), migraciones SQL, triggers y extensiones de PostgreSQL. Excelente opción cuando se necesita base de datos relacional robusta con capacidades BaaS completas para proyectos como PrintSmart 3D.</t>
  </si>
  <si>
    <t>Plan Pro INCLUYE: 8 GB base de datos PostgreSQL · 100 GB almacenamiento · 250 GB bandwidth · 100K MAU · 2M Edge Functions invocaciones · backups diarios 7 días · Realtime habilitado. Precio FIJO $25/mes (predecible, sin sorpresas en la factura). Plan gratuito disponible: 500 MB DB · 1 GB storage · 50K MAU (con pausa después de 1 semana inactivo). Fuente: supabase.com/pricing</t>
  </si>
  <si>
    <t>◆  COMPARATIVA DE SERVICIOS BaaS (BACKEND COMO SERVICIO EN LA NUBE)</t>
  </si>
  <si>
    <t>Análisis comparativo de los 3 servicios BaaS más económicos del mercado – Cliente: ML Mecanizados SAS</t>
  </si>
  <si>
    <t>Google Firebase</t>
  </si>
  <si>
    <t>AWS Amplify</t>
  </si>
  <si>
    <t>Supabase</t>
  </si>
  <si>
    <t>Google Cloud (GCP)</t>
  </si>
  <si>
    <t>Amazon Web Services</t>
  </si>
  <si>
    <t>Supabase Inc. (en AWS)</t>
  </si>
  <si>
    <t>BaaS Serverless</t>
  </si>
  <si>
    <t>BaaS Open-Source</t>
  </si>
  <si>
    <t>Firebase Blaze (pay-as-go)</t>
  </si>
  <si>
    <t>AWS Amplify – Básico</t>
  </si>
  <si>
    <t>Supabase Pro ($25 fijo)</t>
  </si>
  <si>
    <t>$8.50 USD/mes ✔</t>
  </si>
  <si>
    <t>$12.00 USD/mes</t>
  </si>
  <si>
    <t>$25.00 USD/mes</t>
  </si>
  <si>
    <t>Precio predecible</t>
  </si>
  <si>
    <t>No (pago variable)</t>
  </si>
  <si>
    <t>Sí ✔ (precio fijo)</t>
  </si>
  <si>
    <t>Firestore (NoSQL)</t>
  </si>
  <si>
    <t>DynamoDB/AppSync (NoSQL)</t>
  </si>
  <si>
    <t>PostgreSQL 15 (SQL) ✔</t>
  </si>
  <si>
    <t>Almacenamiento arch.</t>
  </si>
  <si>
    <t>5 GB GRATIS ✔</t>
  </si>
  <si>
    <t>5 GB (12 meses)</t>
  </si>
  <si>
    <t>100 GB incluidos ✔</t>
  </si>
  <si>
    <t>Funciones serverless</t>
  </si>
  <si>
    <t>2M/mes GRATIS ✔</t>
  </si>
  <si>
    <t>1M/mes GRATIS ✔</t>
  </si>
  <si>
    <t>2M Edge Functions ✔</t>
  </si>
  <si>
    <t>Email, OAuth, SMS, Anónimo</t>
  </si>
  <si>
    <t>Cognito – 50K MAU GRATIS</t>
  </si>
  <si>
    <t>Email, OAuth, Magic Link</t>
  </si>
  <si>
    <t>MAU gratuitos/incluidos</t>
  </si>
  <si>
    <t>10.000 / mes</t>
  </si>
  <si>
    <t>50.000 GRATIS ✔</t>
  </si>
  <si>
    <t>100.000 incluidos ✔</t>
  </si>
  <si>
    <t>Capa gratuita perpetua</t>
  </si>
  <si>
    <t>Sí (Spark Plan) ✔</t>
  </si>
  <si>
    <t>Sí (límites) ✔</t>
  </si>
  <si>
    <t>Sí (pausa 7d inactiv.)</t>
  </si>
  <si>
    <t>REST nativo ✔</t>
  </si>
  <si>
    <t>REST + GraphQL (AppSync)</t>
  </si>
  <si>
    <t>REST + GraphQL ✔</t>
  </si>
  <si>
    <t>Notificaciones push</t>
  </si>
  <si>
    <t>FCM – GRATIS ilimitado ✔</t>
  </si>
  <si>
    <t>SNS / Pinpoint</t>
  </si>
  <si>
    <t>No nativo</t>
  </si>
  <si>
    <t>Google Analytics ✔</t>
  </si>
  <si>
    <t>Amazon Pinpoint</t>
  </si>
  <si>
    <t>Dashboard + Logs ✔</t>
  </si>
  <si>
    <t>Open Source</t>
  </si>
  <si>
    <t>Sí ✔ (auto-hosteable)</t>
  </si>
  <si>
    <t>12 (en expansión)</t>
  </si>
  <si>
    <t>Web, iOS, Android, Flutter</t>
  </si>
  <si>
    <t>Facilidad de configurac.</t>
  </si>
  <si>
    <t>Muy alta ✔</t>
  </si>
  <si>
    <t>Apps Firebase/Google</t>
  </si>
  <si>
    <t>Proyectos AWS enterprise</t>
  </si>
  <si>
    <t>Apps con BD relacional</t>
  </si>
  <si>
    <t>PUNTUACIÓN PONDERADA (escala 1–5)</t>
  </si>
  <si>
    <t>Costo mensual (35%)</t>
  </si>
  <si>
    <t>3.8</t>
  </si>
  <si>
    <t>2.8</t>
  </si>
  <si>
    <t>Facilidad de integración (20%)</t>
  </si>
  <si>
    <t>Funcionalidades BaaS (20%)</t>
  </si>
  <si>
    <t>SLA / Disponibilidad (15%)</t>
  </si>
  <si>
    <t>Escalabilidad / Ecosistema (10%)</t>
  </si>
  <si>
    <t>4.68 / 5.00</t>
  </si>
  <si>
    <t>4.18 / 5.00</t>
  </si>
  <si>
    <t>3.63 / 5.00</t>
  </si>
  <si>
    <t>SERVICIO RECOMENDADO:  Google Firebase (Plan Blaze)
Con base en el análisis comparativo de los 3 servicios BaaS evaluados, se recomienda Google Firebase – Plan Blaze como la opción más conveniente para el proyecto PrintSmart 3D de ML Mecanizados SAS, por las siguientes razones:
1. MENOR COSTO ESTIMADO:  USD $8.50/mes — el precio más bajo de los tres servicios, aprovechando la generosa capa gratuita que cubre la mayor parte del uso en etapas iniciales (50K lecturas/día, 20K escrituras/día, 2M Cloud Functions/mes, 10 GB hosting, FCM ilimitado).
2. INTEGRACION COMPLETA PARA APPS:  Firebase ofrece en un solo SDK todo lo necesario: autenticación multiproveedor, base de datos en tiempo real (Firestore), almacenamiento de archivos, notificaciones push (FCM GRATIS ilimitado) y hosting web. Ideal para la app de gestión de impresión 3D tanto en web como en móvil.
3. FACILIDAD DE IMPLEMENTACIÓN:  La integración con frameworks como React, Flutter o Angular es directa mediante el SDK oficial. Menor tiempo de desarrollo = menor costo total.
4. ESCALABILIDAD SIN RIESGO:  El plan Blaze escala automáticamente con el crecimiento del negocio, pagando solo por el consumo adicional, sin migrar de plataforma.
NOTA DE PRECAUCIÓN: Firebase usa bases de datos NoSQL (Firestore). Si el proyecto requiere consultas SQL complejas o relaciones entre tablas, se recomienda evaluar Supabase (PostgreSQL) como alternativa a pesar de su precio fijo de $25/mes.
NOTA SOBRE AWS AMPLIFY: Opción sólida si el cliente ya usa o planea usar servicios AWS para otras partes de la infraestructura (EC2, RDS, S3), ya que Amplify se integra nativamente con el ecosistema Amazon.</t>
  </si>
  <si>
    <t>☁   FICHA TÉCNICA DEL SERVICIO EN LA NUBE   (AIaaS)</t>
  </si>
  <si>
    <t>Nombre del Servicio:  Amazon Rekognition</t>
  </si>
  <si>
    <t>PRECIO MENSUAL
USD $5.00 / mes</t>
  </si>
  <si>
    <t>Pay-as-you-go / Image API</t>
  </si>
  <si>
    <t>Tipo de Servicio IA</t>
  </si>
  <si>
    <t>Visión por Computadora (Image AI)</t>
  </si>
  <si>
    <t>Pago por uso (sin compromiso)</t>
  </si>
  <si>
    <t>Procesamiento</t>
  </si>
  <si>
    <t>Serverless – sin gestión de infra</t>
  </si>
  <si>
    <t>Latencia Promedio</t>
  </si>
  <si>
    <t>&lt; 500 ms por imagen</t>
  </si>
  <si>
    <t>Precisión del Modelo</t>
  </si>
  <si>
    <t>Hasta 99% en reconocimiento facial</t>
  </si>
  <si>
    <t>Capacidades Principales</t>
  </si>
  <si>
    <t>Objetos, texto, rostros, escenas, contenido explícito</t>
  </si>
  <si>
    <t>Idiomas Soportados</t>
  </si>
  <si>
    <t>Etiquetas en inglés; texto multi-idioma</t>
  </si>
  <si>
    <t>Regiones Disponibles</t>
  </si>
  <si>
    <t>17 regiones globales</t>
  </si>
  <si>
    <t>Transferencia de Datos</t>
  </si>
  <si>
    <t>100 GB salida/mes incluida</t>
  </si>
  <si>
    <t>REST API / AWS SDK / AWS CLI</t>
  </si>
  <si>
    <t>Modalidad de Contrato</t>
  </si>
  <si>
    <t>Sin contrato (pago por uso)</t>
  </si>
  <si>
    <t>https://aws.amazon.com/rekognition/</t>
  </si>
  <si>
    <t>rekognition | us-east-1</t>
  </si>
  <si>
    <t>Capa Gratuita</t>
  </si>
  <si>
    <t>5,000 imágenes/mes – primeros 12 meses (Free Tier)</t>
  </si>
  <si>
    <t>10,000 imágenes/mes (5K gratuitas)</t>
  </si>
  <si>
    <t>Amazon Rekognition es un servicio de análisis visual impulsado por IA que permite detectar objetos, personas, texto, escenas y actividades en imágenes y videos sin necesidad de conocimientos en machine learning. Escala automáticamente según la demanda. Ideal para sistemas de moderación de contenido, seguridad, análisis de e-commerce, reconocimiento de productos en impresión 3D y procesos de control de calidad visual automatizado.</t>
  </si>
  <si>
    <t>Incluye: 5,000 imágenes gratuitas/mes durante los primeros 12 meses (Free Tier AWS). Integración nativa con Amazon S3, Lambda y CloudWatch. Compatible con formatos JPEG y PNG. Sin costo de configuración inicial. Soporte comunitario vía AWS re:Post y documentación oficial en español.</t>
  </si>
  <si>
    <t>Nombre del Servicio:  Cloud Natural Language API</t>
  </si>
  <si>
    <t>GOOGLE CLOUD</t>
  </si>
  <si>
    <t>Pay-as-you-go / NLP API</t>
  </si>
  <si>
    <t>Procesamiento de Lenguaje Natural</t>
  </si>
  <si>
    <t>Serverless – API gestionada por GCP</t>
  </si>
  <si>
    <t>&lt; 300 ms por solicitud</t>
  </si>
  <si>
    <t>&gt;90% en análisis de sentimiento</t>
  </si>
  <si>
    <t>Sentimientos, entidades, sintaxis, clasificación de contenido</t>
  </si>
  <si>
    <t>Más de 10 idiomas (incluye español)</t>
  </si>
  <si>
    <t>Incluida en solicitudes API</t>
  </si>
  <si>
    <t>REST API / Python SDK / Node.js SDK</t>
  </si>
  <si>
    <t>https://cloud.google.com/natural-language</t>
  </si>
  <si>
    <t>natural-language | us-central1</t>
  </si>
  <si>
    <t>5,000 unidades de texto gratis/mes (¡PERMANENTE!)</t>
  </si>
  <si>
    <t>10,000 registros de texto/mes</t>
  </si>
  <si>
    <t>Google Cloud Natural Language API analiza texto con modelos de IA de última generación. Extrae entidades (personas, lugares, eventos), detecta sentimientos positivos/negativos, clasifica contenido en categorías y analiza la sintaxis. Compatible con español. Ideal para chatbots inteligentes, análisis de reseñas de clientes, clasificación automática de pedidos de impresión 3D y monitoreo de redes sociales para negocios.</t>
  </si>
  <si>
    <t>Incluye: 5,000 unidades de texto gratuitas/mes de forma PERMANENTE (sin límite de tiempo, sin necesidad de tarjeta). Integración directa con Google Sheets, BigQuery y Vertex AI. Sin costos ocultos. Documentación completa disponible en español. Facturación en USD.</t>
  </si>
  <si>
    <t>Nombre del Servicio:  Azure AI – Computer Vision</t>
  </si>
  <si>
    <t>MICROSOFT AZURE</t>
  </si>
  <si>
    <t>Free (F0) / Standard (S1)</t>
  </si>
  <si>
    <t>Visión por Computadora y OCR</t>
  </si>
  <si>
    <t>Pago por uso (desde plan gratuito)</t>
  </si>
  <si>
    <t>Serverless – API gestionada por Azure</t>
  </si>
  <si>
    <t>&lt; 400 ms por imagen</t>
  </si>
  <si>
    <t>OCR &gt;95%; Detección objetos avanzada</t>
  </si>
  <si>
    <t>OCR 164 idiomas, análisis imágenes, descripción escenas, moderación</t>
  </si>
  <si>
    <t>164 idiomas para OCR (incl. español)</t>
  </si>
  <si>
    <t>Incluida en las transacciones</t>
  </si>
  <si>
    <t>Azure Portal / Azure CLI</t>
  </si>
  <si>
    <t>REST API / Python SDK / .NET SDK</t>
  </si>
  <si>
    <t>https://azure.microsoft.com/ai-vision</t>
  </si>
  <si>
    <t>computer-vision-S1 | eastus</t>
  </si>
  <si>
    <t>5,000 transacciones gratis/mes (Plan F0 – PERMANENTE)</t>
  </si>
  <si>
    <t>10,000 transacciones/mes</t>
  </si>
  <si>
    <t>Azure AI Computer Vision analiza el contenido visual de imágenes con modelos de IA preentrenados de Microsoft. Ofrece reconocimiento óptico de caracteres (OCR) en 164 idiomas, análisis de imágenes, generación de descripciones automáticas y detección de contenido inapropiado. Ideal para digitalización de órdenes de impresión 3D, extracción de texto de planos técnicos, moderación automática de archivos subidos por clientes y aplicaciones de accesibilidad.</t>
  </si>
  <si>
    <t>Incluye: Plan F0 gratuito con 5,000 transacciones/mes PERMANENTES (sin límite de tiempo). Compatible con JPEG, PNG, GIF y BMP. Integración con Azure Logic Apps, Power Automate y Azure Functions. SDK disponible en Python, .NET, Java y JavaScript. Ideal para digitalización de documentos físicos de clientes.</t>
  </si>
  <si>
    <t>☁   COMPARATIVA DE SERVICIOS AIaaS – COTIZACIÓN CLIENTE</t>
  </si>
  <si>
    <t>Servicios de Inteligencia Artificial como Servicio (AI as a Service)   |   Selección de las 3 opciones más económicas del mercado</t>
  </si>
  <si>
    <t>Amazon Rekognition</t>
  </si>
  <si>
    <t>Cloud Natural Language API</t>
  </si>
  <si>
    <t>Azure AI – Computer Vision</t>
  </si>
  <si>
    <t>Visión por Computadora</t>
  </si>
  <si>
    <t>💰 Precio Mensual Estimado
(10,000 unidades/mes)</t>
  </si>
  <si>
    <t>USD $5.00 / mes</t>
  </si>
  <si>
    <t>5,000 imágenes/mes
(primeros 12 meses)</t>
  </si>
  <si>
    <t>5,000 unidades/mes
(PERMANENTE ✓)</t>
  </si>
  <si>
    <t>5,000 transacciones/mes
(PERMANENTE ✓)</t>
  </si>
  <si>
    <t>Precio por unidad adicional</t>
  </si>
  <si>
    <t>$1.00 por 1,000 imágenes</t>
  </si>
  <si>
    <t>$1.00 por 1,000 unidades de texto</t>
  </si>
  <si>
    <t>$1.00 por 1,000 transacciones</t>
  </si>
  <si>
    <t>Objetos, rostros, texto,
escenas, moderación</t>
  </si>
  <si>
    <t>Sentimientos, entidades,
sintaxis, clasificación</t>
  </si>
  <si>
    <t>OCR 164 idiomas, análisis
imágenes, descripciones</t>
  </si>
  <si>
    <t>Parcial (etiquetas en inglés)</t>
  </si>
  <si>
    <t>Sí – nativo ✓</t>
  </si>
  <si>
    <t>Sí – OCR español ✓</t>
  </si>
  <si>
    <t>&lt; 500 ms / imagen</t>
  </si>
  <si>
    <t>&lt; 300 ms / solicitud</t>
  </si>
  <si>
    <t>&lt; 400 ms / imagen</t>
  </si>
  <si>
    <t>Regiones Globales</t>
  </si>
  <si>
    <t>17 regiones</t>
  </si>
  <si>
    <t>35+ regiones</t>
  </si>
  <si>
    <t>Free Tier ¿Permanente?</t>
  </si>
  <si>
    <t>No (solo 12 meses)</t>
  </si>
  <si>
    <t>SÍ – sin límite de tiempo ✓✓</t>
  </si>
  <si>
    <t>Integración con herramientas</t>
  </si>
  <si>
    <t>S3, Lambda, CloudWatch</t>
  </si>
  <si>
    <t>Sheets, BigQuery, Vertex AI</t>
  </si>
  <si>
    <t>Logic Apps, Power Automate</t>
  </si>
  <si>
    <t>Alta ✓</t>
  </si>
  <si>
    <t>Pago por uso</t>
  </si>
  <si>
    <t>Requiere Tarjeta de Crédito
para empezar</t>
  </si>
  <si>
    <t>Sí (Free Tier AWS)</t>
  </si>
  <si>
    <t>No (en ciertos planes) ✓</t>
  </si>
  <si>
    <t>Sí (Azure gratuito)</t>
  </si>
  <si>
    <t>Mejor Caso de Uso</t>
  </si>
  <si>
    <t>Reconocimiento de imágenes
de productos 3D</t>
  </si>
  <si>
    <t>Análisis de textos/pedidos
de clientes</t>
  </si>
  <si>
    <t>Digitalización de planos
y documentos técnicos</t>
  </si>
  <si>
    <t>8.0</t>
  </si>
  <si>
    <t>9.5</t>
  </si>
  <si>
    <t>⭐  RECOMENDACIÓN FINAL AL CLIENTE</t>
  </si>
  <si>
    <t>🥇  MEJOR OPCIÓN:  Google Cloud Natural Language API  (★ 9.5/10)</t>
  </si>
  <si>
    <t>¿Por qué Google Natural Language API?</t>
  </si>
  <si>
    <t>✅ Capa gratuita PERMANENTE de 5,000 unidades/mes sin fecha de vencimiento.
✅ Precio más predecible: $1.00 por cada 1,000 unidades adicionales.
✅ Soporte nativo en español – fundamental para clientes colombianos.
✅ Integración directa con Google Sheets (herramienta ya usada por la empresa).
✅ No requiere tarjeta de crédito en plan básico.
✅ Mayor red global (35+ regiones) garantiza menor latencia desde Colombia.</t>
  </si>
  <si>
    <t>Segunda opción recomendada:
Azure AI Computer Vision</t>
  </si>
  <si>
    <t>⚡ Ideal si el cliente necesita digitalizar documentos físicos (órdenes de trabajo, planos, facturas).
⚡ Plan gratuito permanente (F0) con 5,000 transacciones/mes.
⚡ OCR en 164 idiomas con soporte en español.
⚡ Integra perfectamente con Microsoft Office 365 y Power BI.
Precio: $5.00/mes para 10K transacciones (misma tarifa que GCP).</t>
  </si>
  <si>
    <t>Tercera opción:
AWS Amazon Rekognition</t>
  </si>
  <si>
    <t>ℹ️  Recomendada si el cliente ya utiliza otros servicios de AWS (EC2, S3, etc.).
ℹ️  Capa gratuita de 12 meses (no permanente): ideal para pilotos y pruebas de concepto.
ℹ️  Mejor para análisis visual de productos de impresión 3D.
Precio: $5.00/mes para 10K imágenes (tras el primer año gratuito).</t>
  </si>
  <si>
    <t>💡 Consejo final para el cliente</t>
  </si>
  <si>
    <t>Comenzar con Google Natural Language API (gratis para volúmenes bajos) y escalar gradualmente.
Los tres servicios tienen arquitectura serverless: sin servidores que administrar, sin contratos forzosos.
Presupuesto máximo recomendado para inicio: $5 a $15 USD/mes con crecimiento controlado.
Todos ofrecen APIs REST estándar: un solo desarrollador puede integrarlos en el sistema PrintSmart 3D.</t>
  </si>
</sst>
</file>

<file path=xl/styles.xml><?xml version="1.0" encoding="utf-8"?>
<styleSheet xmlns="http://schemas.openxmlformats.org/spreadsheetml/2006/main" xmlns:x14ac="http://schemas.microsoft.com/office/spreadsheetml/2009/9/ac" xmlns:mc="http://schemas.openxmlformats.org/markup-compatibility/2006">
  <fonts count="105">
    <font>
      <sz val="11.0"/>
      <color theme="1"/>
      <name val="Calibri"/>
      <scheme val="minor"/>
    </font>
    <font>
      <b/>
      <sz val="15.0"/>
      <color rgb="FFFFFFFF"/>
      <name val="Arial"/>
    </font>
    <font/>
    <font>
      <b/>
      <sz val="10.0"/>
      <color rgb="FF1F3864"/>
      <name val="Arial"/>
    </font>
    <font>
      <b/>
      <sz val="13.0"/>
      <color rgb="FF1F3864"/>
      <name val="Arial"/>
    </font>
    <font>
      <b/>
      <sz val="13.0"/>
      <color rgb="FFFFFFFF"/>
      <name val="Arial"/>
    </font>
    <font>
      <b/>
      <sz val="11.0"/>
      <color rgb="FFFFFFFF"/>
      <name val="Arial"/>
    </font>
    <font>
      <b/>
      <sz val="9.0"/>
      <color rgb="FF1F3864"/>
      <name val="Arial"/>
    </font>
    <font>
      <sz val="9.0"/>
      <color rgb="FF1A1A2E"/>
      <name val="Arial"/>
    </font>
    <font>
      <sz val="11.0"/>
      <color theme="1"/>
      <name val="Calibri"/>
    </font>
    <font>
      <u/>
      <sz val="11.0"/>
      <color theme="10"/>
      <name val="Calibri"/>
    </font>
    <font>
      <i/>
      <sz val="9.0"/>
      <color rgb="FF808080"/>
      <name val="Arial"/>
    </font>
    <font>
      <sz val="10.0"/>
      <color rgb="FF1F3864"/>
      <name val="Arial"/>
    </font>
    <font>
      <b/>
      <sz val="10.0"/>
      <color rgb="FFFFFFFF"/>
      <name val="Arial"/>
    </font>
    <font>
      <b/>
      <sz val="9.0"/>
      <color rgb="FFFFFFFF"/>
      <name val="Arial"/>
    </font>
    <font>
      <sz val="9.0"/>
      <color rgb="FF888888"/>
      <name val="Arial"/>
    </font>
    <font>
      <b/>
      <sz val="9.0"/>
      <color rgb="FF375623"/>
      <name val="Arial"/>
    </font>
    <font>
      <b/>
      <sz val="10.0"/>
      <color rgb="FF1A1A2E"/>
      <name val="Arial"/>
    </font>
    <font>
      <b/>
      <sz val="10.0"/>
      <color theme="1"/>
      <name val="Arimo"/>
    </font>
    <font>
      <b/>
      <sz val="12.0"/>
      <color rgb="FF1A5276"/>
      <name val="Arial"/>
    </font>
    <font>
      <sz val="10.0"/>
      <color rgb="FFFFFFFF"/>
      <name val="Arial"/>
    </font>
    <font>
      <b/>
      <sz val="36.0"/>
      <color rgb="FF46E3B7"/>
      <name val="Arial"/>
    </font>
    <font>
      <b/>
      <sz val="11.0"/>
      <color rgb="FF1D2951"/>
      <name val="Arial"/>
    </font>
    <font>
      <b/>
      <sz val="13.0"/>
      <color rgb="FF1D2951"/>
      <name val="Arial"/>
    </font>
    <font>
      <i/>
      <sz val="8.0"/>
      <color rgb="FF555555"/>
      <name val="Arial"/>
    </font>
    <font>
      <b/>
      <sz val="9.0"/>
      <color rgb="FF333333"/>
      <name val="Arial"/>
    </font>
    <font>
      <sz val="9.0"/>
      <color rgb="FF222222"/>
      <name val="Arial"/>
    </font>
    <font>
      <sz val="9.0"/>
      <color rgb="FF333333"/>
      <name val="Arial"/>
    </font>
    <font>
      <i/>
      <sz val="8.0"/>
      <color rgb="FF666666"/>
      <name val="Arial"/>
    </font>
    <font>
      <b/>
      <sz val="36.0"/>
      <color rgb="FF7C3AED"/>
      <name val="Arial"/>
    </font>
    <font>
      <b/>
      <sz val="11.0"/>
      <color rgb="FF0F0E17"/>
      <name val="Arial"/>
    </font>
    <font>
      <b/>
      <sz val="13.0"/>
      <color rgb="FF0F0E17"/>
      <name val="Arial"/>
    </font>
    <font>
      <b/>
      <sz val="36.0"/>
      <color rgb="FFF97316"/>
      <name val="Arial"/>
    </font>
    <font>
      <b/>
      <sz val="11.0"/>
      <color rgb="FFC2410C"/>
      <name val="Arial"/>
    </font>
    <font>
      <b/>
      <sz val="13.0"/>
      <color rgb="FFC2410C"/>
      <name val="Arial"/>
    </font>
    <font>
      <b/>
      <sz val="14.0"/>
      <color rgb="FFFFFFFF"/>
      <name val="Arial"/>
    </font>
    <font>
      <i/>
      <sz val="9.0"/>
      <color rgb="FFBBBBBB"/>
      <name val="Arial"/>
    </font>
    <font>
      <b/>
      <sz val="10.0"/>
      <color rgb="FF111111"/>
      <name val="Arial"/>
    </font>
    <font>
      <sz val="10.0"/>
      <color rgb="FF111111"/>
      <name val="Arial"/>
    </font>
    <font>
      <b/>
      <sz val="10.0"/>
      <color rgb="FF1D4ED8"/>
      <name val="Arial"/>
    </font>
    <font>
      <sz val="10.0"/>
      <color rgb="FF888888"/>
      <name val="Arial"/>
    </font>
    <font>
      <b/>
      <sz val="11.0"/>
      <color rgb="FF065F46"/>
      <name val="Arial"/>
    </font>
    <font>
      <b/>
      <sz val="13.0"/>
      <color rgb="FF065F46"/>
      <name val="Arial"/>
    </font>
    <font>
      <i/>
      <sz val="8.0"/>
      <color rgb="FF888888"/>
      <name val="Arial"/>
    </font>
    <font>
      <b/>
      <sz val="10.0"/>
      <color rgb="FF1A1A1A"/>
      <name val="Arial"/>
    </font>
    <font>
      <b/>
      <sz val="20.0"/>
      <color rgb="FFFFFFFF"/>
      <name val="Arial"/>
    </font>
    <font>
      <b/>
      <sz val="11.0"/>
      <color rgb="FF1A1A1A"/>
      <name val="Arial"/>
    </font>
    <font>
      <i/>
      <sz val="8.0"/>
      <color rgb="FF1A1A1A"/>
      <name val="Arial"/>
    </font>
    <font>
      <b/>
      <sz val="9.0"/>
      <color rgb="FF1A1A1A"/>
      <name val="Arial"/>
    </font>
    <font>
      <sz val="9.0"/>
      <color rgb="FF1A1A1A"/>
      <name val="Arial"/>
    </font>
    <font>
      <i/>
      <sz val="9.0"/>
      <color rgb="FF1A1A1A"/>
      <name val="Arial"/>
    </font>
    <font>
      <b/>
      <sz val="13.0"/>
      <color rgb="FFFFD700"/>
      <name val="Arial"/>
    </font>
    <font>
      <b/>
      <sz val="11.0"/>
      <color rgb="FF0D3D2F"/>
      <name val="Arial"/>
    </font>
    <font>
      <b/>
      <sz val="22.0"/>
      <color rgb="FFFF9900"/>
      <name val="Arial"/>
    </font>
    <font>
      <b/>
      <sz val="11.0"/>
      <color rgb="FFFFD700"/>
      <name val="Arial"/>
    </font>
    <font>
      <sz val="9.0"/>
      <color rgb="FF111111"/>
      <name val="Arial"/>
    </font>
    <font>
      <b/>
      <sz val="10.0"/>
      <color rgb="FFFFD700"/>
      <name val="Arial"/>
    </font>
    <font>
      <i/>
      <sz val="8.0"/>
      <color rgb="FF0D3D2F"/>
      <name val="Arial"/>
    </font>
    <font>
      <b/>
      <sz val="22.0"/>
      <color rgb="FF4285F4"/>
      <name val="Arial"/>
    </font>
    <font>
      <b/>
      <sz val="22.0"/>
      <color rgb="FF0078D4"/>
      <name val="Arial"/>
    </font>
    <font>
      <b/>
      <sz val="14.0"/>
      <color rgb="FFFFD700"/>
      <name val="Arial"/>
    </font>
    <font>
      <sz val="10.0"/>
      <color rgb="FF0D3D2F"/>
      <name val="Arial"/>
    </font>
    <font>
      <b/>
      <sz val="9.0"/>
      <color rgb="FF0D3D2F"/>
      <name val="Arial"/>
    </font>
    <font>
      <b/>
      <sz val="9.0"/>
      <color rgb="FF111111"/>
      <name val="Arial"/>
    </font>
    <font>
      <b/>
      <sz val="9.0"/>
      <color rgb="FF145A32"/>
      <name val="Arial"/>
    </font>
    <font>
      <sz val="9.0"/>
      <color rgb="FF145A32"/>
      <name val="Arial"/>
    </font>
    <font>
      <b/>
      <sz val="12.0"/>
      <color rgb="FFFFD700"/>
      <name val="Arial"/>
    </font>
    <font>
      <b/>
      <sz val="12.0"/>
      <color rgb="FF145A32"/>
      <name val="Arial"/>
    </font>
    <font>
      <b/>
      <sz val="11.0"/>
      <color rgb="FF003366"/>
      <name val="Arial"/>
    </font>
    <font>
      <b/>
      <sz val="16.0"/>
      <color rgb="FF4285F4"/>
      <name val="Arial"/>
    </font>
    <font>
      <b/>
      <sz val="10.0"/>
      <color rgb="FF404040"/>
      <name val="Arial"/>
    </font>
    <font>
      <b/>
      <sz val="15.0"/>
      <color rgb="FFAA3300"/>
      <name val="Arial"/>
    </font>
    <font>
      <b/>
      <sz val="9.0"/>
      <color rgb="FF000000"/>
      <name val="Arial"/>
    </font>
    <font>
      <sz val="9.0"/>
      <color rgb="FF000000"/>
      <name val="Arial"/>
    </font>
    <font>
      <sz val="9.0"/>
      <color rgb="FF404040"/>
      <name val="Arial"/>
    </font>
    <font>
      <sz val="8.0"/>
      <color rgb="FF555555"/>
      <name val="Arial"/>
    </font>
    <font>
      <b/>
      <sz val="16.0"/>
      <color rgb="FFFF9900"/>
      <name val="Arial"/>
    </font>
    <font>
      <b/>
      <sz val="16.0"/>
      <color rgb="FF0089D6"/>
      <name val="Arial"/>
    </font>
    <font>
      <b/>
      <sz val="10.0"/>
      <color rgb="FF003366"/>
      <name val="Arial"/>
    </font>
    <font>
      <b/>
      <sz val="9.0"/>
      <color rgb="FF1A7A3B"/>
      <name val="Arial"/>
    </font>
    <font>
      <b/>
      <sz val="9.0"/>
      <color rgb="FFD46B08"/>
      <name val="Arial"/>
    </font>
    <font>
      <b/>
      <sz val="9.0"/>
      <color rgb="FFA33000"/>
      <name val="Arial"/>
    </font>
    <font>
      <b/>
      <sz val="10.0"/>
      <color rgb="FF000000"/>
      <name val="Arial"/>
    </font>
    <font>
      <b/>
      <sz val="12.0"/>
      <color rgb="FFFFFFFF"/>
      <name val="Arial"/>
    </font>
    <font>
      <sz val="9.0"/>
      <color rgb="FF1A3A1A"/>
      <name val="Arial"/>
    </font>
    <font>
      <b/>
      <sz val="11.0"/>
      <color rgb="FF1A237E"/>
      <name val="Arial"/>
    </font>
    <font>
      <b/>
      <sz val="17.0"/>
      <color rgb="FFFF8F00"/>
      <name val="Arial"/>
    </font>
    <font>
      <b/>
      <sz val="10.0"/>
      <color rgb="FF37474F"/>
      <name val="Arial"/>
    </font>
    <font>
      <b/>
      <sz val="16.0"/>
      <color rgb="FFA50000"/>
      <name val="Arial"/>
    </font>
    <font>
      <sz val="9.0"/>
      <color rgb="FF37474F"/>
      <name val="Arial"/>
    </font>
    <font>
      <b/>
      <sz val="17.0"/>
      <color rgb="FFFF9900"/>
      <name val="Arial"/>
    </font>
    <font>
      <b/>
      <sz val="17.0"/>
      <color rgb="FF00897B"/>
      <name val="Arial"/>
    </font>
    <font>
      <b/>
      <sz val="10.0"/>
      <color rgb="FF1A237E"/>
      <name val="Arial"/>
    </font>
    <font>
      <b/>
      <sz val="9.0"/>
      <color rgb="FF1B5E20"/>
      <name val="Arial"/>
    </font>
    <font>
      <b/>
      <sz val="9.0"/>
      <color rgb="FFE65100"/>
      <name val="Arial"/>
    </font>
    <font>
      <b/>
      <sz val="9.0"/>
      <color rgb="FFB71C1C"/>
      <name val="Arial"/>
    </font>
    <font>
      <sz val="9.0"/>
      <color rgb="FF1B5E20"/>
      <name val="Arial"/>
    </font>
    <font>
      <b/>
      <sz val="11.0"/>
      <color rgb="FF1A3C6E"/>
      <name val="Arial"/>
    </font>
    <font>
      <b/>
      <sz val="26.0"/>
      <color rgb="FFFF9900"/>
      <name val="Arial"/>
    </font>
    <font>
      <i/>
      <sz val="8.0"/>
      <color rgb="FF1A3C6E"/>
      <name val="Arial"/>
    </font>
    <font>
      <b/>
      <sz val="26.0"/>
      <color rgb="FF4285F4"/>
      <name val="Arial"/>
    </font>
    <font>
      <b/>
      <sz val="26.0"/>
      <color rgb="FF0078D4"/>
      <name val="Arial"/>
    </font>
    <font>
      <sz val="10.0"/>
      <color rgb="FF1A3C6E"/>
      <name val="Arial"/>
    </font>
    <font>
      <b/>
      <sz val="9.0"/>
      <color rgb="FF1A3C6E"/>
      <name val="Arial"/>
    </font>
    <font>
      <b/>
      <sz val="12.0"/>
      <color rgb="FF1B5E20"/>
      <name val="Arial"/>
    </font>
  </fonts>
  <fills count="71">
    <fill>
      <patternFill patternType="none"/>
    </fill>
    <fill>
      <patternFill patternType="lightGray"/>
    </fill>
    <fill>
      <patternFill patternType="solid">
        <fgColor rgb="FF1F3864"/>
        <bgColor rgb="FF1F3864"/>
      </patternFill>
    </fill>
    <fill>
      <patternFill patternType="solid">
        <fgColor rgb="FFD6E4F0"/>
        <bgColor rgb="FFD6E4F0"/>
      </patternFill>
    </fill>
    <fill>
      <patternFill patternType="solid">
        <fgColor rgb="FFFFFFFF"/>
        <bgColor rgb="FFFFFFFF"/>
      </patternFill>
    </fill>
    <fill>
      <patternFill patternType="solid">
        <fgColor rgb="FF16375B"/>
        <bgColor rgb="FF16375B"/>
      </patternFill>
    </fill>
    <fill>
      <patternFill patternType="solid">
        <fgColor rgb="FF2E75B6"/>
        <bgColor rgb="FF2E75B6"/>
      </patternFill>
    </fill>
    <fill>
      <patternFill patternType="solid">
        <fgColor rgb="FFEBF3FB"/>
        <bgColor rgb="FFEBF3FB"/>
      </patternFill>
    </fill>
    <fill>
      <patternFill patternType="solid">
        <fgColor rgb="FFFFF9E6"/>
        <bgColor rgb="FFFFF9E6"/>
      </patternFill>
    </fill>
    <fill>
      <patternFill patternType="solid">
        <fgColor rgb="FFF2F2F2"/>
        <bgColor rgb="FFF2F2F2"/>
      </patternFill>
    </fill>
    <fill>
      <patternFill patternType="solid">
        <fgColor rgb="FFE2EFDA"/>
        <bgColor rgb="FFE2EFDA"/>
      </patternFill>
    </fill>
    <fill>
      <patternFill patternType="solid">
        <fgColor rgb="FF1A5276"/>
        <bgColor rgb="FF1A5276"/>
      </patternFill>
    </fill>
    <fill>
      <patternFill patternType="solid">
        <fgColor rgb="FFFDFEFE"/>
        <bgColor rgb="FFFDFEFE"/>
      </patternFill>
    </fill>
    <fill>
      <patternFill patternType="solid">
        <fgColor rgb="FF1D2951"/>
        <bgColor rgb="FF1D2951"/>
      </patternFill>
    </fill>
    <fill>
      <patternFill patternType="solid">
        <fgColor rgb="FF46E3B7"/>
        <bgColor rgb="FF46E3B7"/>
      </patternFill>
    </fill>
    <fill>
      <patternFill patternType="solid">
        <fgColor rgb="FFF8F9FA"/>
        <bgColor rgb="FFF8F9FA"/>
      </patternFill>
    </fill>
    <fill>
      <patternFill patternType="solid">
        <fgColor rgb="FFE8FDF8"/>
        <bgColor rgb="FFE8FDF8"/>
      </patternFill>
    </fill>
    <fill>
      <patternFill patternType="solid">
        <fgColor rgb="FFFAFAFA"/>
        <bgColor rgb="FFFAFAFA"/>
      </patternFill>
    </fill>
    <fill>
      <patternFill patternType="solid">
        <fgColor rgb="FFF0F0F0"/>
        <bgColor rgb="FFF0F0F0"/>
      </patternFill>
    </fill>
    <fill>
      <patternFill patternType="solid">
        <fgColor rgb="FFF5F5F5"/>
        <bgColor rgb="FFF5F5F5"/>
      </patternFill>
    </fill>
    <fill>
      <patternFill patternType="solid">
        <fgColor rgb="FF0F0E17"/>
        <bgColor rgb="FF0F0E17"/>
      </patternFill>
    </fill>
    <fill>
      <patternFill patternType="solid">
        <fgColor rgb="FF7C3AED"/>
        <bgColor rgb="FF7C3AED"/>
      </patternFill>
    </fill>
    <fill>
      <patternFill patternType="solid">
        <fgColor rgb="FFF5F3FF"/>
        <bgColor rgb="FFF5F3FF"/>
      </patternFill>
    </fill>
    <fill>
      <patternFill patternType="solid">
        <fgColor rgb="FFC2410C"/>
        <bgColor rgb="FFC2410C"/>
      </patternFill>
    </fill>
    <fill>
      <patternFill patternType="solid">
        <fgColor rgb="FFF97316"/>
        <bgColor rgb="FFF97316"/>
      </patternFill>
    </fill>
    <fill>
      <patternFill patternType="solid">
        <fgColor rgb="FFFFF7ED"/>
        <bgColor rgb="FFFFF7ED"/>
      </patternFill>
    </fill>
    <fill>
      <patternFill patternType="solid">
        <fgColor rgb="FF1A1A2E"/>
        <bgColor rgb="FF1A1A2E"/>
      </patternFill>
    </fill>
    <fill>
      <patternFill patternType="solid">
        <fgColor rgb="FF3B82F6"/>
        <bgColor rgb="FF3B82F6"/>
      </patternFill>
    </fill>
    <fill>
      <patternFill patternType="solid">
        <fgColor rgb="FF1D4ED8"/>
        <bgColor rgb="FF1D4ED8"/>
      </patternFill>
    </fill>
    <fill>
      <patternFill patternType="solid">
        <fgColor rgb="FFEFF6FF"/>
        <bgColor rgb="FFEFF6FF"/>
      </patternFill>
    </fill>
    <fill>
      <patternFill patternType="solid">
        <fgColor rgb="FFF0F9FF"/>
        <bgColor rgb="FFF0F9FF"/>
      </patternFill>
    </fill>
    <fill>
      <patternFill patternType="solid">
        <fgColor rgb="FFF8FAFC"/>
        <bgColor rgb="FFF8FAFC"/>
      </patternFill>
    </fill>
    <fill>
      <patternFill patternType="solid">
        <fgColor rgb="FFD1FAE5"/>
        <bgColor rgb="FFD1FAE5"/>
      </patternFill>
    </fill>
    <fill>
      <patternFill patternType="solid">
        <fgColor rgb="FFF9FAFB"/>
        <bgColor rgb="FFF9FAFB"/>
      </patternFill>
    </fill>
    <fill>
      <patternFill patternType="solid">
        <fgColor rgb="FFF0F4FA"/>
        <bgColor rgb="FFF0F4FA"/>
      </patternFill>
    </fill>
    <fill>
      <patternFill patternType="solid">
        <fgColor rgb="FF1B3A6B"/>
        <bgColor rgb="FF1B3A6B"/>
      </patternFill>
    </fill>
    <fill>
      <patternFill patternType="solid">
        <fgColor rgb="FFFFD700"/>
        <bgColor rgb="FFFFD700"/>
      </patternFill>
    </fill>
    <fill>
      <patternFill patternType="solid">
        <fgColor rgb="FF107C41"/>
        <bgColor rgb="FF107C41"/>
      </patternFill>
    </fill>
    <fill>
      <patternFill patternType="solid">
        <fgColor rgb="FFE42527"/>
        <bgColor rgb="FFE42527"/>
      </patternFill>
    </fill>
    <fill>
      <patternFill patternType="solid">
        <fgColor rgb="FF0D3D2F"/>
        <bgColor rgb="FF0D3D2F"/>
      </patternFill>
    </fill>
    <fill>
      <patternFill patternType="solid">
        <fgColor rgb="FFD4EDE6"/>
        <bgColor rgb="FFD4EDE6"/>
      </patternFill>
    </fill>
    <fill>
      <patternFill patternType="solid">
        <fgColor rgb="FF0B2A1F"/>
        <bgColor rgb="FF0B2A1F"/>
      </patternFill>
    </fill>
    <fill>
      <patternFill patternType="solid">
        <fgColor rgb="FF1A7A5E"/>
        <bgColor rgb="FF1A7A5E"/>
      </patternFill>
    </fill>
    <fill>
      <patternFill patternType="solid">
        <fgColor rgb="FFF0FAF7"/>
        <bgColor rgb="FFF0FAF7"/>
      </patternFill>
    </fill>
    <fill>
      <patternFill patternType="solid">
        <fgColor rgb="FFE0F5EE"/>
        <bgColor rgb="FFE0F5EE"/>
      </patternFill>
    </fill>
    <fill>
      <patternFill patternType="solid">
        <fgColor rgb="FFD4EFDF"/>
        <bgColor rgb="FFD4EFDF"/>
      </patternFill>
    </fill>
    <fill>
      <patternFill patternType="solid">
        <fgColor rgb="FFFFF9C4"/>
        <bgColor rgb="FFFFF9C4"/>
      </patternFill>
    </fill>
    <fill>
      <patternFill patternType="solid">
        <fgColor rgb="FFE8F5E9"/>
        <bgColor rgb="FFE8F5E9"/>
      </patternFill>
    </fill>
    <fill>
      <patternFill patternType="solid">
        <fgColor rgb="FF003366"/>
        <bgColor rgb="FF003366"/>
      </patternFill>
    </fill>
    <fill>
      <patternFill patternType="solid">
        <fgColor rgb="FFE8F0FE"/>
        <bgColor rgb="FFE8F0FE"/>
      </patternFill>
    </fill>
    <fill>
      <patternFill patternType="solid">
        <fgColor rgb="FFFFE600"/>
        <bgColor rgb="FFFFE600"/>
      </patternFill>
    </fill>
    <fill>
      <patternFill patternType="solid">
        <fgColor rgb="FF1F6BB0"/>
        <bgColor rgb="FF1F6BB0"/>
      </patternFill>
    </fill>
    <fill>
      <patternFill patternType="solid">
        <fgColor rgb="FFCCE5FF"/>
        <bgColor rgb="FFCCE5FF"/>
      </patternFill>
    </fill>
    <fill>
      <patternFill patternType="solid">
        <fgColor rgb="FF4285F4"/>
        <bgColor rgb="FF4285F4"/>
      </patternFill>
    </fill>
    <fill>
      <patternFill patternType="solid">
        <fgColor rgb="FFFF9900"/>
        <bgColor rgb="FFFF9900"/>
      </patternFill>
    </fill>
    <fill>
      <patternFill patternType="solid">
        <fgColor rgb="FF0089D6"/>
        <bgColor rgb="FF0089D6"/>
      </patternFill>
    </fill>
    <fill>
      <patternFill patternType="solid">
        <fgColor rgb="FF1A7A3B"/>
        <bgColor rgb="FF1A7A3B"/>
      </patternFill>
    </fill>
    <fill>
      <patternFill patternType="solid">
        <fgColor rgb="FF1A237E"/>
        <bgColor rgb="FF1A237E"/>
      </patternFill>
    </fill>
    <fill>
      <patternFill patternType="solid">
        <fgColor rgb="FFE8EAF6"/>
        <bgColor rgb="FFE8EAF6"/>
      </patternFill>
    </fill>
    <fill>
      <patternFill patternType="solid">
        <fgColor rgb="FFFFD600"/>
        <bgColor rgb="FFFFD600"/>
      </patternFill>
    </fill>
    <fill>
      <patternFill patternType="solid">
        <fgColor rgb="FF283593"/>
        <bgColor rgb="FF283593"/>
      </patternFill>
    </fill>
    <fill>
      <patternFill patternType="solid">
        <fgColor rgb="FFE3F2FD"/>
        <bgColor rgb="FFE3F2FD"/>
      </patternFill>
    </fill>
    <fill>
      <patternFill patternType="solid">
        <fgColor rgb="FFFF8F00"/>
        <bgColor rgb="FFFF8F00"/>
      </patternFill>
    </fill>
    <fill>
      <patternFill patternType="solid">
        <fgColor rgb="FF00897B"/>
        <bgColor rgb="FF00897B"/>
      </patternFill>
    </fill>
    <fill>
      <patternFill patternType="solid">
        <fgColor rgb="FF1B5E20"/>
        <bgColor rgb="FF1B5E20"/>
      </patternFill>
    </fill>
    <fill>
      <patternFill patternType="solid">
        <fgColor rgb="FF1A3C6E"/>
        <bgColor rgb="FF1A3C6E"/>
      </patternFill>
    </fill>
    <fill>
      <patternFill patternType="solid">
        <fgColor rgb="FFD9E8F7"/>
        <bgColor rgb="FFD9E8F7"/>
      </patternFill>
    </fill>
    <fill>
      <patternFill patternType="solid">
        <fgColor rgb="FF1A2C4A"/>
        <bgColor rgb="FF1A2C4A"/>
      </patternFill>
    </fill>
    <fill>
      <patternFill patternType="solid">
        <fgColor rgb="FF2E5CA8"/>
        <bgColor rgb="FF2E5CA8"/>
      </patternFill>
    </fill>
    <fill>
      <patternFill patternType="solid">
        <fgColor rgb="FFF0F5FB"/>
        <bgColor rgb="FFF0F5FB"/>
      </patternFill>
    </fill>
    <fill>
      <patternFill patternType="solid">
        <fgColor rgb="FFE8F0FA"/>
        <bgColor rgb="FFE8F0FA"/>
      </patternFill>
    </fill>
  </fills>
  <borders count="9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top/>
    </border>
    <border>
      <right/>
      <top/>
    </border>
    <border>
      <left/>
      <bottom/>
    </border>
    <border>
      <right/>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top style="thin">
        <color rgb="FF46E3B7"/>
      </top>
      <bottom/>
    </border>
    <border>
      <right/>
      <top style="thin">
        <color rgb="FF46E3B7"/>
      </top>
      <bottom/>
    </border>
    <border>
      <left/>
      <right/>
      <top style="thin">
        <color rgb="FF46E3B7"/>
      </top>
      <bottom/>
    </border>
    <border>
      <left/>
      <top style="thin">
        <color rgb="FF7C3AED"/>
      </top>
      <bottom/>
    </border>
    <border>
      <right/>
      <top style="thin">
        <color rgb="FF7C3AED"/>
      </top>
      <bottom/>
    </border>
    <border>
      <left/>
      <right/>
      <top style="thin">
        <color rgb="FF7C3AED"/>
      </top>
      <bottom/>
    </border>
    <border>
      <left/>
      <top style="thin">
        <color rgb="FFF97316"/>
      </top>
      <bottom/>
    </border>
    <border>
      <right/>
      <top style="thin">
        <color rgb="FFF97316"/>
      </top>
      <bottom/>
    </border>
    <border>
      <left/>
      <right/>
      <top style="thin">
        <color rgb="FFF97316"/>
      </top>
      <bottom/>
    </border>
    <border>
      <left style="thin">
        <color rgb="FF1E40AF"/>
      </left>
      <right style="thin">
        <color rgb="FF1E40AF"/>
      </right>
      <top style="thin">
        <color rgb="FF1E40AF"/>
      </top>
      <bottom style="thin">
        <color rgb="FF1E40AF"/>
      </bottom>
    </border>
    <border>
      <left style="thin">
        <color rgb="FF065F46"/>
      </left>
      <top style="thin">
        <color rgb="FF065F46"/>
      </top>
      <bottom style="thin">
        <color rgb="FF065F46"/>
      </bottom>
    </border>
    <border>
      <top style="thin">
        <color rgb="FF065F46"/>
      </top>
      <bottom style="thin">
        <color rgb="FF065F46"/>
      </bottom>
    </border>
    <border>
      <right style="thin">
        <color rgb="FF065F46"/>
      </right>
      <top style="thin">
        <color rgb="FF065F46"/>
      </top>
      <bottom style="thin">
        <color rgb="FF065F46"/>
      </bottom>
    </border>
    <border>
      <left style="thin">
        <color rgb="FF065F46"/>
      </left>
      <right style="thin">
        <color rgb="FF065F46"/>
      </right>
      <top style="thin">
        <color rgb="FF065F46"/>
      </top>
      <bottom style="thin">
        <color rgb="FF065F46"/>
      </bottom>
    </border>
    <border>
      <left style="thick">
        <color rgb="FF1D4ED8"/>
      </left>
      <top/>
      <bottom/>
    </border>
    <border>
      <left style="thick">
        <color rgb="FF6D28D9"/>
      </left>
      <top/>
      <bottom/>
    </border>
    <border>
      <left style="thick">
        <color rgb="FFC2410C"/>
      </left>
      <top/>
      <bottom/>
    </border>
    <border>
      <left style="thin">
        <color rgb="FFAAAAAA"/>
      </left>
      <top style="thin">
        <color rgb="FFAAAAAA"/>
      </top>
      <bottom style="thin">
        <color rgb="FFAAAAAA"/>
      </bottom>
    </border>
    <border>
      <top style="thin">
        <color rgb="FFAAAAAA"/>
      </top>
      <bottom style="thin">
        <color rgb="FFAAAAAA"/>
      </bottom>
    </border>
    <border>
      <right/>
      <top style="thin">
        <color rgb="FFAAAAAA"/>
      </top>
      <bottom style="thin">
        <color rgb="FFAAAAAA"/>
      </bottom>
    </border>
    <border>
      <left style="thin">
        <color rgb="FFAAAAAA"/>
      </left>
      <top style="thin">
        <color rgb="FFAAAAAA"/>
      </top>
    </border>
    <border>
      <right/>
      <top style="thin">
        <color rgb="FFAAAAAA"/>
      </top>
    </border>
    <border>
      <left style="thin">
        <color rgb="FFAAAAAA"/>
      </left>
    </border>
    <border>
      <right/>
    </border>
    <border>
      <left style="thin">
        <color rgb="FFAAAAAA"/>
      </left>
      <bottom/>
    </border>
    <border>
      <left style="thin">
        <color rgb="FFAAAAAA"/>
      </left>
      <right style="thin">
        <color rgb="FFAAAAAA"/>
      </right>
      <top style="thin">
        <color rgb="FFAAAAAA"/>
      </top>
      <bottom style="thin">
        <color rgb="FFAAAAAA"/>
      </bottom>
    </border>
    <border>
      <top/>
    </border>
    <border>
      <left/>
    </border>
    <border>
      <bottom/>
    </border>
    <border>
      <left style="thin">
        <color rgb="FF9ECFBE"/>
      </left>
      <right style="thin">
        <color rgb="FF9ECFBE"/>
      </right>
      <top style="thin">
        <color rgb="FF9ECFBE"/>
      </top>
      <bottom style="thin">
        <color rgb="FF9ECFBE"/>
      </bottom>
    </border>
    <border>
      <left style="thin">
        <color rgb="FF9ECFBE"/>
      </left>
      <top style="thin">
        <color rgb="FF9ECFBE"/>
      </top>
    </border>
    <border>
      <top style="thin">
        <color rgb="FF9ECFBE"/>
      </top>
    </border>
    <border>
      <right/>
      <top style="thin">
        <color rgb="FF9ECFBE"/>
      </top>
    </border>
    <border>
      <left style="thin">
        <color rgb="FF9ECFBE"/>
      </left>
    </border>
    <border>
      <left style="thin">
        <color rgb="FF9ECFBE"/>
      </left>
      <bottom/>
    </border>
    <border>
      <left style="thin">
        <color rgb="FF0D3D2F"/>
      </left>
      <top style="thin">
        <color rgb="FF0D3D2F"/>
      </top>
    </border>
    <border>
      <top style="thin">
        <color rgb="FF0D3D2F"/>
      </top>
    </border>
    <border>
      <right/>
      <top style="thin">
        <color rgb="FF0D3D2F"/>
      </top>
    </border>
    <border>
      <left style="thin">
        <color rgb="FF0D3D2F"/>
      </left>
    </border>
    <border>
      <left style="thin">
        <color rgb="FF0D3D2F"/>
      </left>
      <bottom/>
    </border>
    <border>
      <left style="thin">
        <color rgb="FF9ECFBE"/>
      </left>
      <top style="thin">
        <color rgb="FF9ECFBE"/>
      </top>
      <bottom style="thin">
        <color rgb="FF9ECFBE"/>
      </bottom>
    </border>
    <border>
      <top style="thin">
        <color rgb="FF9ECFBE"/>
      </top>
      <bottom style="thin">
        <color rgb="FF9ECFBE"/>
      </bottom>
    </border>
    <border>
      <right/>
      <top style="thin">
        <color rgb="FF9ECFBE"/>
      </top>
      <bottom style="thin">
        <color rgb="FF9ECFBE"/>
      </bottom>
    </border>
    <border>
      <left style="medium">
        <color rgb="FF003366"/>
      </left>
      <top style="medium">
        <color rgb="FF003366"/>
      </top>
      <bottom style="medium">
        <color rgb="FF003366"/>
      </bottom>
    </border>
    <border>
      <top style="medium">
        <color rgb="FF003366"/>
      </top>
      <bottom style="medium">
        <color rgb="FF003366"/>
      </bottom>
    </border>
    <border>
      <right/>
      <top style="medium">
        <color rgb="FF003366"/>
      </top>
      <bottom style="medium">
        <color rgb="FF003366"/>
      </bottom>
    </border>
    <border>
      <left style="medium">
        <color rgb="FF003366"/>
      </left>
      <top style="medium">
        <color rgb="FF003366"/>
      </top>
    </border>
    <border>
      <right/>
      <top style="medium">
        <color rgb="FF003366"/>
      </top>
    </border>
    <border>
      <top style="medium">
        <color rgb="FF003366"/>
      </top>
    </border>
    <border>
      <left style="medium">
        <color rgb="FF003366"/>
      </left>
    </border>
    <border>
      <left style="medium">
        <color rgb="FF003366"/>
      </left>
      <bottom/>
    </border>
    <border>
      <left style="thin">
        <color rgb="FFBBBBBB"/>
      </left>
      <right style="thin">
        <color rgb="FFBBBBBB"/>
      </right>
      <top style="thin">
        <color rgb="FFBBBBBB"/>
      </top>
      <bottom style="thin">
        <color rgb="FFBBBBBB"/>
      </bottom>
    </border>
    <border>
      <left style="medium">
        <color rgb="FF1A237E"/>
      </left>
      <top style="medium">
        <color rgb="FF1A237E"/>
      </top>
      <bottom style="medium">
        <color rgb="FF1A237E"/>
      </bottom>
    </border>
    <border>
      <top style="medium">
        <color rgb="FF1A237E"/>
      </top>
      <bottom style="medium">
        <color rgb="FF1A237E"/>
      </bottom>
    </border>
    <border>
      <right/>
      <top style="medium">
        <color rgb="FF1A237E"/>
      </top>
      <bottom style="medium">
        <color rgb="FF1A237E"/>
      </bottom>
    </border>
    <border>
      <left style="medium">
        <color rgb="FF1A237E"/>
      </left>
      <top style="medium">
        <color rgb="FF1A237E"/>
      </top>
    </border>
    <border>
      <right/>
      <top style="medium">
        <color rgb="FF1A237E"/>
      </top>
    </border>
    <border>
      <top style="medium">
        <color rgb="FF1A237E"/>
      </top>
    </border>
    <border>
      <left style="medium">
        <color rgb="FF1A237E"/>
      </left>
    </border>
    <border>
      <left style="medium">
        <color rgb="FF1A237E"/>
      </left>
      <bottom/>
    </border>
    <border>
      <left style="thin">
        <color rgb="FFBDBDBD"/>
      </left>
      <right style="thin">
        <color rgb="FFBDBDBD"/>
      </right>
      <top style="thin">
        <color rgb="FFBDBDBD"/>
      </top>
      <bottom style="thin">
        <color rgb="FFBDBDBD"/>
      </bottom>
    </border>
    <border>
      <left style="thin">
        <color rgb="FFB0C4DE"/>
      </left>
      <right style="thin">
        <color rgb="FFB0C4DE"/>
      </right>
      <top style="thin">
        <color rgb="FFB0C4DE"/>
      </top>
      <bottom style="thin">
        <color rgb="FFB0C4DE"/>
      </bottom>
    </border>
    <border>
      <left style="thin">
        <color rgb="FFB0C4DE"/>
      </left>
      <top style="thin">
        <color rgb="FFB0C4DE"/>
      </top>
    </border>
    <border>
      <top style="thin">
        <color rgb="FFB0C4DE"/>
      </top>
    </border>
    <border>
      <right/>
      <top style="thin">
        <color rgb="FFB0C4DE"/>
      </top>
    </border>
    <border>
      <left style="thin">
        <color rgb="FFB0C4DE"/>
      </left>
    </border>
    <border>
      <left style="thin">
        <color rgb="FFB0C4DE"/>
      </left>
      <bottom/>
    </border>
    <border>
      <left style="thin">
        <color rgb="FF1A3C6E"/>
      </left>
      <top style="thin">
        <color rgb="FF1A3C6E"/>
      </top>
    </border>
    <border>
      <top style="thin">
        <color rgb="FF1A3C6E"/>
      </top>
    </border>
    <border>
      <right/>
      <top style="thin">
        <color rgb="FF1A3C6E"/>
      </top>
    </border>
    <border>
      <left style="thin">
        <color rgb="FF1A3C6E"/>
      </left>
    </border>
    <border>
      <left style="thin">
        <color rgb="FF1A3C6E"/>
      </left>
      <bottom/>
    </border>
    <border>
      <left style="thin">
        <color rgb="FFB0C4DE"/>
      </left>
      <top style="thin">
        <color rgb="FFB0C4DE"/>
      </top>
      <bottom style="thin">
        <color rgb="FFB0C4DE"/>
      </bottom>
    </border>
    <border>
      <top style="thin">
        <color rgb="FFB0C4DE"/>
      </top>
      <bottom style="thin">
        <color rgb="FFB0C4DE"/>
      </bottom>
    </border>
    <border>
      <right/>
      <top style="thin">
        <color rgb="FFB0C4DE"/>
      </top>
      <bottom style="thin">
        <color rgb="FFB0C4DE"/>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1" fillId="6" fontId="6" numFmtId="0" xfId="0" applyAlignment="1" applyBorder="1" applyFill="1" applyFont="1">
      <alignment horizontal="center" vertical="center"/>
    </xf>
    <xf borderId="4" fillId="3" fontId="7" numFmtId="0" xfId="0" applyAlignment="1" applyBorder="1" applyFont="1">
      <alignment horizontal="left" shrinkToFit="0" vertical="center" wrapText="1"/>
    </xf>
    <xf borderId="4" fillId="7" fontId="8" numFmtId="0" xfId="0" applyAlignment="1" applyBorder="1" applyFill="1" applyFont="1">
      <alignment horizontal="left" shrinkToFit="0" vertical="center" wrapText="1"/>
    </xf>
    <xf borderId="4" fillId="4" fontId="8" numFmtId="0" xfId="0" applyAlignment="1" applyBorder="1" applyFont="1">
      <alignment horizontal="left" shrinkToFit="0" vertical="center" wrapText="1"/>
    </xf>
    <xf borderId="0" fillId="0" fontId="9" numFmtId="0" xfId="0" applyFont="1"/>
    <xf borderId="4" fillId="7" fontId="8" numFmtId="0" xfId="0" applyAlignment="1" applyBorder="1" applyFont="1">
      <alignment horizontal="left" readingOrder="0" shrinkToFit="0" vertical="center" wrapText="1"/>
    </xf>
    <xf borderId="4" fillId="4" fontId="10" numFmtId="0" xfId="0" applyAlignment="1" applyBorder="1" applyFont="1">
      <alignment horizontal="left" shrinkToFit="0" vertical="center" wrapText="1"/>
    </xf>
    <xf borderId="1" fillId="4" fontId="8" numFmtId="0" xfId="0" applyAlignment="1" applyBorder="1" applyFont="1">
      <alignment horizontal="left" shrinkToFit="0" vertical="center" wrapText="1"/>
    </xf>
    <xf borderId="1" fillId="8" fontId="8" numFmtId="0" xfId="0" applyAlignment="1" applyBorder="1" applyFill="1" applyFont="1">
      <alignment horizontal="left" shrinkToFit="0" vertical="center" wrapText="1"/>
    </xf>
    <xf borderId="1" fillId="9" fontId="11" numFmtId="0" xfId="0" applyAlignment="1" applyBorder="1" applyFill="1" applyFont="1">
      <alignment horizontal="center" vertical="center"/>
    </xf>
    <xf borderId="4" fillId="4" fontId="8" numFmtId="0" xfId="0" applyAlignment="1" applyBorder="1" applyFont="1">
      <alignment horizontal="left" readingOrder="0" shrinkToFit="0" vertical="center" wrapText="1"/>
    </xf>
    <xf borderId="1" fillId="3" fontId="12" numFmtId="0" xfId="0" applyAlignment="1" applyBorder="1" applyFont="1">
      <alignment horizontal="center" vertical="center"/>
    </xf>
    <xf borderId="4" fillId="6" fontId="13" numFmtId="0" xfId="0" applyAlignment="1" applyBorder="1" applyFont="1">
      <alignment horizontal="center" shrinkToFit="0" vertical="center" wrapText="1"/>
    </xf>
    <xf borderId="1" fillId="2" fontId="14" numFmtId="0" xfId="0" applyAlignment="1" applyBorder="1" applyFont="1">
      <alignment horizontal="left" vertical="center"/>
    </xf>
    <xf borderId="4" fillId="4" fontId="15" numFmtId="0" xfId="0" applyAlignment="1" applyBorder="1" applyFont="1">
      <alignment horizontal="center" readingOrder="0" shrinkToFit="0" vertical="center" wrapText="1"/>
    </xf>
    <xf borderId="4" fillId="10" fontId="16" numFmtId="0" xfId="0" applyAlignment="1" applyBorder="1" applyFill="1" applyFont="1">
      <alignment horizontal="center" readingOrder="0" shrinkToFit="0" vertical="center" wrapText="1"/>
    </xf>
    <xf borderId="4" fillId="10" fontId="16" numFmtId="0" xfId="0" applyAlignment="1" applyBorder="1" applyFont="1">
      <alignment horizontal="center" vertical="center"/>
    </xf>
    <xf borderId="4" fillId="4" fontId="15" numFmtId="0" xfId="0" applyAlignment="1" applyBorder="1" applyFont="1">
      <alignment horizontal="center" shrinkToFit="0" vertical="center" wrapText="1"/>
    </xf>
    <xf borderId="4" fillId="10" fontId="16"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4" fillId="7" fontId="7" numFmtId="0" xfId="0" applyAlignment="1" applyBorder="1" applyFont="1">
      <alignment horizontal="center" vertical="center"/>
    </xf>
    <xf borderId="4" fillId="3" fontId="3" numFmtId="0" xfId="0" applyAlignment="1" applyBorder="1" applyFont="1">
      <alignment horizontal="left" vertical="center"/>
    </xf>
    <xf borderId="4" fillId="4" fontId="17" numFmtId="0" xfId="0" applyAlignment="1" applyBorder="1" applyFont="1">
      <alignment horizontal="center" vertical="center"/>
    </xf>
    <xf borderId="1" fillId="4" fontId="17" numFmtId="0" xfId="0" applyAlignment="1" applyBorder="1" applyFont="1">
      <alignment horizontal="center" vertical="center"/>
    </xf>
    <xf borderId="4" fillId="0" fontId="18" numFmtId="0" xfId="0" applyAlignment="1" applyBorder="1" applyFont="1">
      <alignment horizontal="center" vertical="center"/>
    </xf>
    <xf borderId="1" fillId="0" fontId="18" numFmtId="0" xfId="0" applyAlignment="1" applyBorder="1" applyFont="1">
      <alignment horizontal="center" vertical="center"/>
    </xf>
    <xf borderId="1" fillId="11" fontId="5" numFmtId="0" xfId="0" applyAlignment="1" applyBorder="1" applyFill="1" applyFont="1">
      <alignment horizontal="center" vertical="center"/>
    </xf>
    <xf borderId="1" fillId="10" fontId="19" numFmtId="0" xfId="0" applyAlignment="1" applyBorder="1" applyFont="1">
      <alignment horizontal="center" vertical="center"/>
    </xf>
    <xf borderId="1" fillId="12" fontId="8" numFmtId="0" xfId="0" applyAlignment="1" applyBorder="1" applyFill="1" applyFont="1">
      <alignment horizontal="left" readingOrder="0" shrinkToFit="0" vertical="top" wrapText="1"/>
    </xf>
    <xf borderId="5" fillId="13" fontId="9" numFmtId="0" xfId="0" applyAlignment="1" applyBorder="1" applyFill="1" applyFont="1">
      <alignment shrinkToFit="0" vertical="bottom" wrapText="0"/>
    </xf>
    <xf borderId="6" fillId="13" fontId="5" numFmtId="0" xfId="0" applyAlignment="1" applyBorder="1" applyFont="1">
      <alignment horizontal="center" shrinkToFit="0" vertical="center" wrapText="0"/>
    </xf>
    <xf borderId="7" fillId="0" fontId="2" numFmtId="0" xfId="0" applyBorder="1" applyFont="1"/>
    <xf borderId="8" fillId="0" fontId="2" numFmtId="0" xfId="0" applyBorder="1" applyFont="1"/>
    <xf borderId="6" fillId="13" fontId="20" numFmtId="0" xfId="0" applyAlignment="1" applyBorder="1" applyFont="1">
      <alignment horizontal="left" shrinkToFit="0" vertical="center" wrapText="0"/>
    </xf>
    <xf borderId="5" fillId="14" fontId="9" numFmtId="0" xfId="0" applyAlignment="1" applyBorder="1" applyFill="1" applyFont="1">
      <alignment shrinkToFit="0" vertical="bottom" wrapText="0"/>
    </xf>
    <xf borderId="9" fillId="13" fontId="21" numFmtId="0" xfId="0" applyAlignment="1" applyBorder="1" applyFont="1">
      <alignment horizontal="center" shrinkToFit="0" vertical="center" wrapText="0"/>
    </xf>
    <xf borderId="10" fillId="0" fontId="2" numFmtId="0" xfId="0" applyBorder="1" applyFont="1"/>
    <xf borderId="6" fillId="15" fontId="22" numFmtId="0" xfId="0" applyAlignment="1" applyBorder="1" applyFill="1" applyFont="1">
      <alignment horizontal="center" shrinkToFit="0" vertical="center" wrapText="0"/>
    </xf>
    <xf borderId="11" fillId="0" fontId="2" numFmtId="0" xfId="0" applyBorder="1" applyFont="1"/>
    <xf borderId="12" fillId="0" fontId="2" numFmtId="0" xfId="0" applyBorder="1" applyFont="1"/>
    <xf borderId="6" fillId="16" fontId="23" numFmtId="0" xfId="0" applyAlignment="1" applyBorder="1" applyFill="1" applyFont="1">
      <alignment horizontal="center" shrinkToFit="0" vertical="center" wrapText="0"/>
    </xf>
    <xf borderId="6" fillId="17" fontId="24" numFmtId="0" xfId="0" applyAlignment="1" applyBorder="1" applyFill="1" applyFont="1">
      <alignment horizontal="left" shrinkToFit="0" vertical="center" wrapText="0"/>
    </xf>
    <xf borderId="6" fillId="13" fontId="13" numFmtId="0" xfId="0" applyAlignment="1" applyBorder="1" applyFont="1">
      <alignment horizontal="center" shrinkToFit="0" vertical="center" wrapText="0"/>
    </xf>
    <xf borderId="13" fillId="16" fontId="25" numFmtId="0" xfId="0" applyAlignment="1" applyBorder="1" applyFont="1">
      <alignment horizontal="center" shrinkToFit="0" vertical="center" wrapText="0"/>
    </xf>
    <xf borderId="13" fillId="16" fontId="26" numFmtId="0" xfId="0" applyAlignment="1" applyBorder="1" applyFont="1">
      <alignment horizontal="left" shrinkToFit="0" vertical="center" wrapText="1"/>
    </xf>
    <xf borderId="13" fillId="18" fontId="25" numFmtId="0" xfId="0" applyAlignment="1" applyBorder="1" applyFill="1" applyFont="1">
      <alignment horizontal="center" shrinkToFit="0" vertical="center" wrapText="0"/>
    </xf>
    <xf borderId="13" fillId="4" fontId="26" numFmtId="0" xfId="0" applyAlignment="1" applyBorder="1" applyFont="1">
      <alignment horizontal="left" shrinkToFit="0" vertical="center" wrapText="1"/>
    </xf>
    <xf borderId="14" fillId="17" fontId="26" numFmtId="0" xfId="0" applyAlignment="1" applyBorder="1" applyFont="1">
      <alignment horizontal="left" shrinkToFit="0" vertical="center" wrapText="1"/>
    </xf>
    <xf borderId="15" fillId="0" fontId="2" numFmtId="0" xfId="0" applyBorder="1" applyFont="1"/>
    <xf borderId="16" fillId="0" fontId="2" numFmtId="0" xfId="0" applyBorder="1" applyFont="1"/>
    <xf borderId="14" fillId="16" fontId="27" numFmtId="0" xfId="0" applyAlignment="1" applyBorder="1" applyFont="1">
      <alignment horizontal="left" shrinkToFit="0" vertical="center" wrapText="1"/>
    </xf>
    <xf borderId="17" fillId="19" fontId="28" numFmtId="0" xfId="0" applyAlignment="1" applyBorder="1" applyFill="1" applyFont="1">
      <alignment horizontal="left" shrinkToFit="0" vertical="center" wrapText="0"/>
    </xf>
    <xf borderId="18" fillId="0" fontId="2" numFmtId="0" xfId="0" applyBorder="1" applyFont="1"/>
    <xf borderId="19" fillId="19" fontId="28" numFmtId="0" xfId="0" applyAlignment="1" applyBorder="1" applyFont="1">
      <alignment horizontal="left" shrinkToFit="0" vertical="center" wrapText="0"/>
    </xf>
    <xf borderId="5" fillId="20" fontId="9" numFmtId="0" xfId="0" applyAlignment="1" applyBorder="1" applyFill="1" applyFont="1">
      <alignment shrinkToFit="0" vertical="bottom" wrapText="0"/>
    </xf>
    <xf borderId="6" fillId="20" fontId="5" numFmtId="0" xfId="0" applyAlignment="1" applyBorder="1" applyFont="1">
      <alignment horizontal="center" shrinkToFit="0" vertical="center" wrapText="0"/>
    </xf>
    <xf borderId="6" fillId="20" fontId="20" numFmtId="0" xfId="0" applyAlignment="1" applyBorder="1" applyFont="1">
      <alignment horizontal="left" shrinkToFit="0" vertical="center" wrapText="0"/>
    </xf>
    <xf borderId="5" fillId="21" fontId="9" numFmtId="0" xfId="0" applyAlignment="1" applyBorder="1" applyFill="1" applyFont="1">
      <alignment shrinkToFit="0" vertical="bottom" wrapText="0"/>
    </xf>
    <xf borderId="9" fillId="20" fontId="29" numFmtId="0" xfId="0" applyAlignment="1" applyBorder="1" applyFont="1">
      <alignment horizontal="center" shrinkToFit="0" vertical="center" wrapText="0"/>
    </xf>
    <xf borderId="6" fillId="15" fontId="30" numFmtId="0" xfId="0" applyAlignment="1" applyBorder="1" applyFont="1">
      <alignment horizontal="center" shrinkToFit="0" vertical="center" wrapText="0"/>
    </xf>
    <xf borderId="6" fillId="22" fontId="31" numFmtId="0" xfId="0" applyAlignment="1" applyBorder="1" applyFill="1" applyFont="1">
      <alignment horizontal="center" shrinkToFit="0" vertical="center" wrapText="0"/>
    </xf>
    <xf borderId="6" fillId="20" fontId="13" numFmtId="0" xfId="0" applyAlignment="1" applyBorder="1" applyFont="1">
      <alignment horizontal="center" shrinkToFit="0" vertical="center" wrapText="0"/>
    </xf>
    <xf borderId="13" fillId="22" fontId="25" numFmtId="0" xfId="0" applyAlignment="1" applyBorder="1" applyFont="1">
      <alignment horizontal="center" shrinkToFit="0" vertical="center" wrapText="0"/>
    </xf>
    <xf borderId="13" fillId="22" fontId="26" numFmtId="0" xfId="0" applyAlignment="1" applyBorder="1" applyFont="1">
      <alignment horizontal="left" shrinkToFit="0" vertical="center" wrapText="1"/>
    </xf>
    <xf borderId="14" fillId="22" fontId="27" numFmtId="0" xfId="0" applyAlignment="1" applyBorder="1" applyFont="1">
      <alignment horizontal="left" shrinkToFit="0" vertical="center" wrapText="1"/>
    </xf>
    <xf borderId="20" fillId="19" fontId="28" numFmtId="0" xfId="0" applyAlignment="1" applyBorder="1" applyFont="1">
      <alignment horizontal="left" shrinkToFit="0" vertical="center" wrapText="0"/>
    </xf>
    <xf borderId="21" fillId="0" fontId="2" numFmtId="0" xfId="0" applyBorder="1" applyFont="1"/>
    <xf borderId="22" fillId="19" fontId="28" numFmtId="0" xfId="0" applyAlignment="1" applyBorder="1" applyFont="1">
      <alignment horizontal="left" shrinkToFit="0" vertical="center" wrapText="0"/>
    </xf>
    <xf borderId="5" fillId="23" fontId="9" numFmtId="0" xfId="0" applyAlignment="1" applyBorder="1" applyFill="1" applyFont="1">
      <alignment shrinkToFit="0" vertical="bottom" wrapText="0"/>
    </xf>
    <xf borderId="6" fillId="23" fontId="5" numFmtId="0" xfId="0" applyAlignment="1" applyBorder="1" applyFont="1">
      <alignment horizontal="center" shrinkToFit="0" vertical="center" wrapText="0"/>
    </xf>
    <xf borderId="6" fillId="23" fontId="20" numFmtId="0" xfId="0" applyAlignment="1" applyBorder="1" applyFont="1">
      <alignment horizontal="left" shrinkToFit="0" vertical="center" wrapText="0"/>
    </xf>
    <xf borderId="5" fillId="24" fontId="9" numFmtId="0" xfId="0" applyAlignment="1" applyBorder="1" applyFill="1" applyFont="1">
      <alignment shrinkToFit="0" vertical="bottom" wrapText="0"/>
    </xf>
    <xf borderId="9" fillId="23" fontId="32" numFmtId="0" xfId="0" applyAlignment="1" applyBorder="1" applyFont="1">
      <alignment horizontal="center" shrinkToFit="0" vertical="center" wrapText="0"/>
    </xf>
    <xf borderId="6" fillId="15" fontId="33" numFmtId="0" xfId="0" applyAlignment="1" applyBorder="1" applyFont="1">
      <alignment horizontal="center" shrinkToFit="0" vertical="center" wrapText="0"/>
    </xf>
    <xf borderId="6" fillId="25" fontId="34" numFmtId="0" xfId="0" applyAlignment="1" applyBorder="1" applyFill="1" applyFont="1">
      <alignment horizontal="center" shrinkToFit="0" vertical="center" wrapText="0"/>
    </xf>
    <xf borderId="6" fillId="23" fontId="13" numFmtId="0" xfId="0" applyAlignment="1" applyBorder="1" applyFont="1">
      <alignment horizontal="center" shrinkToFit="0" vertical="center" wrapText="0"/>
    </xf>
    <xf borderId="13" fillId="25" fontId="25" numFmtId="0" xfId="0" applyAlignment="1" applyBorder="1" applyFont="1">
      <alignment horizontal="center" shrinkToFit="0" vertical="center" wrapText="0"/>
    </xf>
    <xf borderId="13" fillId="25" fontId="26" numFmtId="0" xfId="0" applyAlignment="1" applyBorder="1" applyFont="1">
      <alignment horizontal="left" shrinkToFit="0" vertical="center" wrapText="1"/>
    </xf>
    <xf borderId="14" fillId="25" fontId="27" numFmtId="0" xfId="0" applyAlignment="1" applyBorder="1" applyFont="1">
      <alignment horizontal="left" shrinkToFit="0" vertical="center" wrapText="1"/>
    </xf>
    <xf borderId="23" fillId="19" fontId="28" numFmtId="0" xfId="0" applyAlignment="1" applyBorder="1" applyFont="1">
      <alignment horizontal="left" shrinkToFit="0" vertical="center" wrapText="0"/>
    </xf>
    <xf borderId="24" fillId="0" fontId="2" numFmtId="0" xfId="0" applyBorder="1" applyFont="1"/>
    <xf borderId="25" fillId="19" fontId="28" numFmtId="0" xfId="0" applyAlignment="1" applyBorder="1" applyFont="1">
      <alignment horizontal="left" shrinkToFit="0" vertical="center" wrapText="0"/>
    </xf>
    <xf borderId="5" fillId="26" fontId="9" numFmtId="0" xfId="0" applyAlignment="1" applyBorder="1" applyFill="1" applyFont="1">
      <alignment shrinkToFit="0" vertical="bottom" wrapText="0"/>
    </xf>
    <xf borderId="6" fillId="26" fontId="35" numFmtId="0" xfId="0" applyAlignment="1" applyBorder="1" applyFont="1">
      <alignment horizontal="center" shrinkToFit="0" vertical="center" wrapText="0"/>
    </xf>
    <xf borderId="6" fillId="26" fontId="36" numFmtId="0" xfId="0" applyAlignment="1" applyBorder="1" applyFont="1">
      <alignment horizontal="center" shrinkToFit="0" vertical="center" wrapText="0"/>
    </xf>
    <xf borderId="5" fillId="27" fontId="9" numFmtId="0" xfId="0" applyAlignment="1" applyBorder="1" applyFill="1" applyFont="1">
      <alignment shrinkToFit="0" vertical="bottom" wrapText="0"/>
    </xf>
    <xf borderId="26" fillId="28" fontId="13" numFmtId="0" xfId="0" applyAlignment="1" applyBorder="1" applyFill="1" applyFont="1">
      <alignment horizontal="center" shrinkToFit="0" vertical="center" wrapText="0"/>
    </xf>
    <xf borderId="13" fillId="29" fontId="37" numFmtId="0" xfId="0" applyAlignment="1" applyBorder="1" applyFill="1" applyFont="1">
      <alignment horizontal="center" shrinkToFit="0" vertical="center" wrapText="0"/>
    </xf>
    <xf borderId="13" fillId="29" fontId="38" numFmtId="0" xfId="0" applyAlignment="1" applyBorder="1" applyFont="1">
      <alignment horizontal="left" shrinkToFit="0" vertical="center" wrapText="0"/>
    </xf>
    <xf borderId="13" fillId="29" fontId="38" numFmtId="0" xfId="0" applyAlignment="1" applyBorder="1" applyFont="1">
      <alignment horizontal="center" shrinkToFit="0" vertical="center" wrapText="0"/>
    </xf>
    <xf borderId="13" fillId="29" fontId="39" numFmtId="0" xfId="0" applyAlignment="1" applyBorder="1" applyFont="1">
      <alignment horizontal="center" shrinkToFit="0" vertical="center" wrapText="0"/>
    </xf>
    <xf borderId="13" fillId="22" fontId="37" numFmtId="0" xfId="0" applyAlignment="1" applyBorder="1" applyFont="1">
      <alignment horizontal="center" shrinkToFit="0" vertical="center" wrapText="0"/>
    </xf>
    <xf borderId="13" fillId="22" fontId="38" numFmtId="0" xfId="0" applyAlignment="1" applyBorder="1" applyFont="1">
      <alignment horizontal="left" shrinkToFit="0" vertical="center" wrapText="0"/>
    </xf>
    <xf borderId="13" fillId="22" fontId="38" numFmtId="0" xfId="0" applyAlignment="1" applyBorder="1" applyFont="1">
      <alignment horizontal="center" shrinkToFit="0" vertical="center" wrapText="0"/>
    </xf>
    <xf borderId="13" fillId="22" fontId="39" numFmtId="0" xfId="0" applyAlignment="1" applyBorder="1" applyFont="1">
      <alignment horizontal="center" shrinkToFit="0" vertical="center" wrapText="0"/>
    </xf>
    <xf borderId="13" fillId="25" fontId="37" numFmtId="0" xfId="0" applyAlignment="1" applyBorder="1" applyFont="1">
      <alignment horizontal="center" shrinkToFit="0" vertical="center" wrapText="0"/>
    </xf>
    <xf borderId="13" fillId="25" fontId="38" numFmtId="0" xfId="0" applyAlignment="1" applyBorder="1" applyFont="1">
      <alignment horizontal="left" shrinkToFit="0" vertical="center" wrapText="0"/>
    </xf>
    <xf borderId="13" fillId="25" fontId="38" numFmtId="0" xfId="0" applyAlignment="1" applyBorder="1" applyFont="1">
      <alignment horizontal="center" shrinkToFit="0" vertical="center" wrapText="0"/>
    </xf>
    <xf borderId="13" fillId="25" fontId="39" numFmtId="0" xfId="0" applyAlignment="1" applyBorder="1" applyFont="1">
      <alignment horizontal="center" shrinkToFit="0" vertical="center" wrapText="0"/>
    </xf>
    <xf borderId="6" fillId="30" fontId="39" numFmtId="0" xfId="0" applyAlignment="1" applyBorder="1" applyFill="1" applyFont="1">
      <alignment horizontal="right" shrinkToFit="0" vertical="center" wrapText="0"/>
    </xf>
    <xf borderId="13" fillId="30" fontId="39" numFmtId="0" xfId="0" applyAlignment="1" applyBorder="1" applyFont="1">
      <alignment horizontal="center" shrinkToFit="0" vertical="center" wrapText="0"/>
    </xf>
    <xf borderId="6" fillId="31" fontId="40" numFmtId="0" xfId="0" applyAlignment="1" applyBorder="1" applyFill="1" applyFont="1">
      <alignment horizontal="right" shrinkToFit="0" vertical="center" wrapText="0"/>
    </xf>
    <xf borderId="13" fillId="31" fontId="40" numFmtId="0" xfId="0" applyAlignment="1" applyBorder="1" applyFont="1">
      <alignment horizontal="center" shrinkToFit="0" vertical="center" wrapText="0"/>
    </xf>
    <xf borderId="27" fillId="32" fontId="41" numFmtId="0" xfId="0" applyAlignment="1" applyBorder="1" applyFill="1" applyFont="1">
      <alignment horizontal="right" shrinkToFit="0" vertical="center" wrapText="0"/>
    </xf>
    <xf borderId="28" fillId="0" fontId="2" numFmtId="0" xfId="0" applyBorder="1" applyFont="1"/>
    <xf borderId="29" fillId="0" fontId="2" numFmtId="0" xfId="0" applyBorder="1" applyFont="1"/>
    <xf borderId="30" fillId="32" fontId="42" numFmtId="0" xfId="0" applyAlignment="1" applyBorder="1" applyFont="1">
      <alignment horizontal="center" shrinkToFit="0" vertical="center" wrapText="0"/>
    </xf>
    <xf borderId="30" fillId="32" fontId="9" numFmtId="0" xfId="0" applyAlignment="1" applyBorder="1" applyFont="1">
      <alignment horizontal="center" shrinkToFit="0" vertical="center" wrapText="0"/>
    </xf>
    <xf borderId="6" fillId="26" fontId="13" numFmtId="0" xfId="0" applyAlignment="1" applyBorder="1" applyFont="1">
      <alignment horizontal="center" shrinkToFit="0" vertical="center" wrapText="0"/>
    </xf>
    <xf borderId="31" fillId="29" fontId="26" numFmtId="0" xfId="0" applyAlignment="1" applyBorder="1" applyFont="1">
      <alignment horizontal="left" shrinkToFit="0" vertical="center" wrapText="1"/>
    </xf>
    <xf borderId="32" fillId="22" fontId="26" numFmtId="0" xfId="0" applyAlignment="1" applyBorder="1" applyFont="1">
      <alignment horizontal="left" shrinkToFit="0" vertical="center" wrapText="1"/>
    </xf>
    <xf borderId="33" fillId="25" fontId="26" numFmtId="0" xfId="0" applyAlignment="1" applyBorder="1" applyFont="1">
      <alignment horizontal="left" shrinkToFit="0" vertical="center" wrapText="1"/>
    </xf>
    <xf borderId="6" fillId="33" fontId="43" numFmtId="0" xfId="0" applyAlignment="1" applyBorder="1" applyFill="1" applyFont="1">
      <alignment horizontal="center" shrinkToFit="0" vertical="center" wrapText="0"/>
    </xf>
    <xf borderId="5" fillId="34" fontId="9" numFmtId="0" xfId="0" applyAlignment="1" applyBorder="1" applyFill="1" applyFont="1">
      <alignment shrinkToFit="0" vertical="bottom" wrapText="0"/>
    </xf>
    <xf borderId="34" fillId="35" fontId="5" numFmtId="0" xfId="0" applyAlignment="1" applyBorder="1" applyFill="1" applyFont="1">
      <alignment horizontal="left" shrinkToFit="0" vertical="center" wrapText="1"/>
    </xf>
    <xf borderId="35" fillId="0" fontId="2" numFmtId="0" xfId="0" applyBorder="1" applyFont="1"/>
    <xf borderId="36" fillId="0" fontId="2" numFmtId="0" xfId="0" applyBorder="1" applyFont="1"/>
    <xf borderId="34" fillId="3" fontId="44" numFmtId="0" xfId="0" applyAlignment="1" applyBorder="1" applyFont="1">
      <alignment horizontal="left" shrinkToFit="0" vertical="center" wrapText="1"/>
    </xf>
    <xf borderId="37" fillId="6" fontId="45" numFmtId="0" xfId="0" applyAlignment="1" applyBorder="1" applyFont="1">
      <alignment horizontal="center" shrinkToFit="0" vertical="center" wrapText="1"/>
    </xf>
    <xf borderId="38" fillId="0" fontId="2" numFmtId="0" xfId="0" applyBorder="1" applyFont="1"/>
    <xf borderId="37" fillId="36" fontId="46" numFmtId="0" xfId="0" applyAlignment="1" applyBorder="1" applyFill="1" applyFont="1">
      <alignment horizontal="center" shrinkToFit="0" vertical="center" wrapText="1"/>
    </xf>
    <xf borderId="39" fillId="0" fontId="2" numFmtId="0" xfId="0" applyBorder="1" applyFont="1"/>
    <xf borderId="40" fillId="0" fontId="2" numFmtId="0" xfId="0" applyBorder="1" applyFont="1"/>
    <xf borderId="41" fillId="0" fontId="2" numFmtId="0" xfId="0" applyBorder="1" applyFont="1"/>
    <xf borderId="37" fillId="7" fontId="47" numFmtId="0" xfId="0" applyAlignment="1" applyBorder="1" applyFont="1">
      <alignment horizontal="center" shrinkToFit="0" vertical="center" wrapText="1"/>
    </xf>
    <xf borderId="34" fillId="6" fontId="6" numFmtId="0" xfId="0" applyAlignment="1" applyBorder="1" applyFont="1">
      <alignment horizontal="center" shrinkToFit="0" vertical="center" wrapText="1"/>
    </xf>
    <xf borderId="42" fillId="35" fontId="14" numFmtId="0" xfId="0" applyAlignment="1" applyBorder="1" applyFont="1">
      <alignment horizontal="center" shrinkToFit="0" vertical="center" wrapText="1"/>
    </xf>
    <xf borderId="42" fillId="3" fontId="48" numFmtId="0" xfId="0" applyAlignment="1" applyBorder="1" applyFont="1">
      <alignment horizontal="left" shrinkToFit="0" vertical="center" wrapText="1"/>
    </xf>
    <xf borderId="42" fillId="3" fontId="49" numFmtId="0" xfId="0" applyAlignment="1" applyBorder="1" applyFont="1">
      <alignment horizontal="left" shrinkToFit="0" vertical="center" wrapText="1"/>
    </xf>
    <xf borderId="42" fillId="4" fontId="48" numFmtId="0" xfId="0" applyAlignment="1" applyBorder="1" applyFont="1">
      <alignment horizontal="left" shrinkToFit="0" vertical="center" wrapText="1"/>
    </xf>
    <xf borderId="42" fillId="4" fontId="49" numFmtId="0" xfId="0" applyAlignment="1" applyBorder="1" applyFont="1">
      <alignment horizontal="left" shrinkToFit="0" vertical="center" wrapText="1"/>
    </xf>
    <xf borderId="34" fillId="4" fontId="49" numFmtId="0" xfId="0" applyAlignment="1" applyBorder="1" applyFont="1">
      <alignment horizontal="left" shrinkToFit="0" vertical="top" wrapText="1"/>
    </xf>
    <xf borderId="34" fillId="7" fontId="50" numFmtId="0" xfId="0" applyAlignment="1" applyBorder="1" applyFont="1">
      <alignment horizontal="left" shrinkToFit="0" vertical="top" wrapText="1"/>
    </xf>
    <xf borderId="34" fillId="35" fontId="6" numFmtId="0" xfId="0" applyAlignment="1" applyBorder="1" applyFont="1">
      <alignment horizontal="center" shrinkToFit="0" vertical="center" wrapText="1"/>
    </xf>
    <xf borderId="34" fillId="3" fontId="48" numFmtId="0" xfId="0" applyAlignment="1" applyBorder="1" applyFont="1">
      <alignment horizontal="left" shrinkToFit="0" vertical="center" wrapText="1"/>
    </xf>
    <xf borderId="34" fillId="3" fontId="49" numFmtId="0" xfId="0" applyAlignment="1" applyBorder="1" applyFont="1">
      <alignment horizontal="center" shrinkToFit="0" vertical="center" wrapText="1"/>
    </xf>
    <xf borderId="34" fillId="4" fontId="48" numFmtId="0" xfId="0" applyAlignment="1" applyBorder="1" applyFont="1">
      <alignment horizontal="left" shrinkToFit="0" vertical="center" wrapText="1"/>
    </xf>
    <xf borderId="34" fillId="4" fontId="49" numFmtId="0" xfId="0" applyAlignment="1" applyBorder="1" applyFont="1">
      <alignment horizontal="center" shrinkToFit="0" vertical="center" wrapText="1"/>
    </xf>
    <xf borderId="34" fillId="36" fontId="48" numFmtId="0" xfId="0" applyAlignment="1" applyBorder="1" applyFont="1">
      <alignment horizontal="center" shrinkToFit="0" vertical="center" wrapText="1"/>
    </xf>
    <xf borderId="34" fillId="4" fontId="48" numFmtId="0" xfId="0" applyAlignment="1" applyBorder="1" applyFont="1">
      <alignment horizontal="center" shrinkToFit="0" vertical="center" wrapText="1"/>
    </xf>
    <xf borderId="34" fillId="3" fontId="24" numFmtId="0" xfId="0" applyAlignment="1" applyBorder="1" applyFont="1">
      <alignment horizontal="center" shrinkToFit="0" vertical="center" wrapText="1"/>
    </xf>
    <xf borderId="37" fillId="37" fontId="45" numFmtId="0" xfId="0" applyAlignment="1" applyBorder="1" applyFill="1" applyFont="1">
      <alignment horizontal="center" shrinkToFit="0" vertical="center" wrapText="1"/>
    </xf>
    <xf borderId="37" fillId="38" fontId="45" numFmtId="0" xfId="0" applyAlignment="1" applyBorder="1" applyFill="1" applyFont="1">
      <alignment horizontal="center" shrinkToFit="0" vertical="center" wrapText="1"/>
    </xf>
    <xf borderId="34" fillId="35" fontId="5" numFmtId="0" xfId="0" applyAlignment="1" applyBorder="1" applyFont="1">
      <alignment horizontal="center" shrinkToFit="0" vertical="center" wrapText="1"/>
    </xf>
    <xf borderId="42" fillId="3" fontId="48" numFmtId="0" xfId="0" applyAlignment="1" applyBorder="1" applyFont="1">
      <alignment horizontal="center" shrinkToFit="0" vertical="center" wrapText="1"/>
    </xf>
    <xf borderId="42" fillId="3" fontId="49" numFmtId="0" xfId="0" applyAlignment="1" applyBorder="1" applyFont="1">
      <alignment horizontal="center" shrinkToFit="0" vertical="center" wrapText="1"/>
    </xf>
    <xf borderId="42" fillId="4" fontId="49" numFmtId="0" xfId="0" applyAlignment="1" applyBorder="1" applyFont="1">
      <alignment horizontal="center" shrinkToFit="0" vertical="center" wrapText="1"/>
    </xf>
    <xf borderId="42" fillId="36" fontId="48" numFmtId="0" xfId="0" applyAlignment="1" applyBorder="1" applyFont="1">
      <alignment horizontal="center" shrinkToFit="0" vertical="center" wrapText="1"/>
    </xf>
    <xf borderId="34" fillId="7" fontId="49" numFmtId="0" xfId="0" applyAlignment="1" applyBorder="1" applyFont="1">
      <alignment horizontal="left" shrinkToFit="0" vertical="top" wrapText="1"/>
    </xf>
    <xf borderId="6" fillId="39" fontId="51" numFmtId="0" xfId="0" applyAlignment="1" applyBorder="1" applyFill="1" applyFont="1">
      <alignment horizontal="center" shrinkToFit="0" vertical="center" wrapText="1"/>
    </xf>
    <xf borderId="6" fillId="40" fontId="52" numFmtId="0" xfId="0" applyAlignment="1" applyBorder="1" applyFill="1" applyFont="1">
      <alignment horizontal="left" shrinkToFit="0" vertical="center" wrapText="1"/>
    </xf>
    <xf borderId="9" fillId="41" fontId="53" numFmtId="0" xfId="0" applyAlignment="1" applyBorder="1" applyFill="1" applyFont="1">
      <alignment horizontal="center" shrinkToFit="0" vertical="center" wrapText="1"/>
    </xf>
    <xf borderId="43" fillId="0" fontId="2" numFmtId="0" xfId="0" applyBorder="1" applyFont="1"/>
    <xf borderId="9" fillId="39" fontId="54" numFmtId="0" xfId="0" applyAlignment="1" applyBorder="1" applyFont="1">
      <alignment horizontal="center" shrinkToFit="0" vertical="center" wrapText="1"/>
    </xf>
    <xf borderId="44" fillId="0" fontId="2" numFmtId="0" xfId="0" applyBorder="1" applyFont="1"/>
    <xf borderId="45" fillId="0" fontId="2" numFmtId="0" xfId="0" applyBorder="1" applyFont="1"/>
    <xf borderId="6" fillId="4" fontId="9" numFmtId="0" xfId="0" applyAlignment="1" applyBorder="1" applyFont="1">
      <alignment shrinkToFit="0" vertical="bottom" wrapText="0"/>
    </xf>
    <xf borderId="6" fillId="42" fontId="6" numFmtId="0" xfId="0" applyAlignment="1" applyBorder="1" applyFill="1" applyFont="1">
      <alignment horizontal="center" shrinkToFit="0" vertical="center" wrapText="1"/>
    </xf>
    <xf borderId="46" fillId="39" fontId="14" numFmtId="0" xfId="0" applyAlignment="1" applyBorder="1" applyFont="1">
      <alignment horizontal="left" shrinkToFit="0" vertical="center" wrapText="1"/>
    </xf>
    <xf borderId="46" fillId="40" fontId="55" numFmtId="0" xfId="0" applyAlignment="1" applyBorder="1" applyFont="1">
      <alignment horizontal="left" shrinkToFit="0" vertical="center" wrapText="1"/>
    </xf>
    <xf borderId="5" fillId="4" fontId="9" numFmtId="0" xfId="0" applyAlignment="1" applyBorder="1" applyFont="1">
      <alignment shrinkToFit="0" vertical="bottom" wrapText="0"/>
    </xf>
    <xf borderId="46" fillId="42" fontId="14" numFmtId="0" xfId="0" applyAlignment="1" applyBorder="1" applyFont="1">
      <alignment horizontal="left" shrinkToFit="0" vertical="center" wrapText="1"/>
    </xf>
    <xf borderId="46" fillId="43" fontId="55" numFmtId="0" xfId="0" applyAlignment="1" applyBorder="1" applyFill="1" applyFont="1">
      <alignment horizontal="left" shrinkToFit="0" vertical="center" wrapText="1"/>
    </xf>
    <xf borderId="47" fillId="19" fontId="55" numFmtId="0" xfId="0" applyAlignment="1" applyBorder="1" applyFont="1">
      <alignment horizontal="left" shrinkToFit="0" vertical="center" wrapText="1"/>
    </xf>
    <xf borderId="48" fillId="0" fontId="2" numFmtId="0" xfId="0" applyBorder="1" applyFont="1"/>
    <xf borderId="49" fillId="0" fontId="2" numFmtId="0" xfId="0" applyBorder="1" applyFont="1"/>
    <xf borderId="50" fillId="0" fontId="2" numFmtId="0" xfId="0" applyBorder="1" applyFont="1"/>
    <xf borderId="51" fillId="0" fontId="2" numFmtId="0" xfId="0" applyBorder="1" applyFont="1"/>
    <xf borderId="6" fillId="39" fontId="56" numFmtId="0" xfId="0" applyAlignment="1" applyBorder="1" applyFont="1">
      <alignment horizontal="center" shrinkToFit="0" vertical="center" wrapText="1"/>
    </xf>
    <xf borderId="52" fillId="4" fontId="55" numFmtId="0" xfId="0" applyAlignment="1" applyBorder="1" applyFont="1">
      <alignment horizontal="left" shrinkToFit="0" vertical="center" wrapText="1"/>
    </xf>
    <xf borderId="53" fillId="0" fontId="2" numFmtId="0" xfId="0" applyBorder="1" applyFont="1"/>
    <xf borderId="54" fillId="0" fontId="2" numFmtId="0" xfId="0" applyBorder="1" applyFont="1"/>
    <xf borderId="55" fillId="0" fontId="2" numFmtId="0" xfId="0" applyBorder="1" applyFont="1"/>
    <xf borderId="56" fillId="0" fontId="2" numFmtId="0" xfId="0" applyBorder="1" applyFont="1"/>
    <xf borderId="5" fillId="44" fontId="9" numFmtId="0" xfId="0" applyAlignment="1" applyBorder="1" applyFill="1" applyFont="1">
      <alignment shrinkToFit="0" vertical="bottom" wrapText="0"/>
    </xf>
    <xf borderId="6" fillId="44" fontId="57" numFmtId="0" xfId="0" applyAlignment="1" applyBorder="1" applyFont="1">
      <alignment horizontal="left" shrinkToFit="0" vertical="center" wrapText="1"/>
    </xf>
    <xf borderId="5" fillId="44" fontId="57" numFmtId="0" xfId="0" applyAlignment="1" applyBorder="1" applyFont="1">
      <alignment horizontal="center" shrinkToFit="0" vertical="center" wrapText="1"/>
    </xf>
    <xf borderId="6" fillId="44" fontId="57" numFmtId="0" xfId="0" applyAlignment="1" applyBorder="1" applyFont="1">
      <alignment horizontal="right" shrinkToFit="0" vertical="center" wrapText="1"/>
    </xf>
    <xf borderId="9" fillId="41" fontId="58" numFmtId="0" xfId="0" applyAlignment="1" applyBorder="1" applyFont="1">
      <alignment horizontal="center" shrinkToFit="0" vertical="center" wrapText="1"/>
    </xf>
    <xf borderId="9" fillId="41" fontId="59" numFmtId="0" xfId="0" applyAlignment="1" applyBorder="1" applyFont="1">
      <alignment horizontal="center" shrinkToFit="0" vertical="center" wrapText="1"/>
    </xf>
    <xf borderId="6" fillId="39" fontId="60" numFmtId="0" xfId="0" applyAlignment="1" applyBorder="1" applyFont="1">
      <alignment horizontal="center" shrinkToFit="0" vertical="center" wrapText="1"/>
    </xf>
    <xf borderId="6" fillId="40" fontId="61" numFmtId="0" xfId="0" applyAlignment="1" applyBorder="1" applyFont="1">
      <alignment horizontal="center" shrinkToFit="0" vertical="center" wrapText="1"/>
    </xf>
    <xf borderId="46" fillId="39" fontId="56" numFmtId="0" xfId="0" applyAlignment="1" applyBorder="1" applyFont="1">
      <alignment horizontal="center" shrinkToFit="0" vertical="center" wrapText="1"/>
    </xf>
    <xf borderId="46" fillId="42" fontId="14" numFmtId="0" xfId="0" applyAlignment="1" applyBorder="1" applyFont="1">
      <alignment horizontal="center" shrinkToFit="0" vertical="center" wrapText="1"/>
    </xf>
    <xf borderId="46" fillId="40" fontId="62" numFmtId="0" xfId="0" applyAlignment="1" applyBorder="1" applyFont="1">
      <alignment horizontal="center" shrinkToFit="0" vertical="center" wrapText="1"/>
    </xf>
    <xf borderId="46" fillId="40" fontId="55" numFmtId="0" xfId="0" applyAlignment="1" applyBorder="1" applyFont="1">
      <alignment horizontal="center" shrinkToFit="0" vertical="center" wrapText="1"/>
    </xf>
    <xf borderId="46" fillId="43" fontId="63" numFmtId="0" xfId="0" applyAlignment="1" applyBorder="1" applyFont="1">
      <alignment horizontal="center" shrinkToFit="0" vertical="center" wrapText="1"/>
    </xf>
    <xf borderId="46" fillId="45" fontId="64" numFmtId="0" xfId="0" applyAlignment="1" applyBorder="1" applyFill="1" applyFont="1">
      <alignment horizontal="center" shrinkToFit="0" vertical="center" wrapText="1"/>
    </xf>
    <xf borderId="46" fillId="46" fontId="55" numFmtId="0" xfId="0" applyAlignment="1" applyBorder="1" applyFill="1" applyFont="1">
      <alignment horizontal="center" shrinkToFit="0" vertical="center" wrapText="1"/>
    </xf>
    <xf borderId="46" fillId="47" fontId="65" numFmtId="0" xfId="0" applyAlignment="1" applyBorder="1" applyFill="1" applyFont="1">
      <alignment horizontal="center" shrinkToFit="0" vertical="center" wrapText="1"/>
    </xf>
    <xf borderId="46" fillId="43" fontId="55" numFmtId="0" xfId="0" applyAlignment="1" applyBorder="1" applyFont="1">
      <alignment horizontal="center" shrinkToFit="0" vertical="center" wrapText="1"/>
    </xf>
    <xf borderId="6" fillId="39" fontId="66" numFmtId="0" xfId="0" applyAlignment="1" applyBorder="1" applyFont="1">
      <alignment horizontal="center" shrinkToFit="0" vertical="center" wrapText="1"/>
    </xf>
    <xf borderId="6" fillId="45" fontId="67" numFmtId="0" xfId="0" applyAlignment="1" applyBorder="1" applyFont="1">
      <alignment horizontal="center" shrinkToFit="0" vertical="center" wrapText="1"/>
    </xf>
    <xf borderId="57" fillId="43" fontId="55" numFmtId="0" xfId="0" applyAlignment="1" applyBorder="1" applyFont="1">
      <alignment horizontal="left" shrinkToFit="0" vertical="center" wrapText="1"/>
    </xf>
    <xf borderId="58" fillId="0" fontId="2" numFmtId="0" xfId="0" applyBorder="1" applyFont="1"/>
    <xf borderId="59" fillId="0" fontId="2" numFmtId="0" xfId="0" applyBorder="1" applyFont="1"/>
    <xf borderId="57" fillId="40" fontId="55" numFmtId="0" xfId="0" applyAlignment="1" applyBorder="1" applyFont="1">
      <alignment horizontal="left" shrinkToFit="0" vertical="center" wrapText="1"/>
    </xf>
    <xf borderId="60" fillId="48" fontId="5" numFmtId="0" xfId="0" applyAlignment="1" applyBorder="1" applyFill="1" applyFont="1">
      <alignment horizontal="center" shrinkToFit="0" vertical="center" wrapText="0"/>
    </xf>
    <xf borderId="61" fillId="0" fontId="2" numFmtId="0" xfId="0" applyBorder="1" applyFont="1"/>
    <xf borderId="62" fillId="0" fontId="2" numFmtId="0" xfId="0" applyBorder="1" applyFont="1"/>
    <xf borderId="60" fillId="49" fontId="68" numFmtId="0" xfId="0" applyAlignment="1" applyBorder="1" applyFill="1" applyFont="1">
      <alignment horizontal="left" shrinkToFit="0" vertical="center" wrapText="0"/>
    </xf>
    <xf borderId="63" fillId="9" fontId="69" numFmtId="0" xfId="0" applyAlignment="1" applyBorder="1" applyFont="1">
      <alignment horizontal="center" shrinkToFit="0" vertical="center" wrapText="0"/>
    </xf>
    <xf borderId="64" fillId="0" fontId="2" numFmtId="0" xfId="0" applyBorder="1" applyFont="1"/>
    <xf borderId="63" fillId="50" fontId="70" numFmtId="0" xfId="0" applyAlignment="1" applyBorder="1" applyFill="1" applyFont="1">
      <alignment horizontal="center" shrinkToFit="0" vertical="center" wrapText="0"/>
    </xf>
    <xf borderId="65" fillId="0" fontId="2" numFmtId="0" xfId="0" applyBorder="1" applyFont="1"/>
    <xf borderId="66" fillId="0" fontId="2" numFmtId="0" xfId="0" applyBorder="1" applyFont="1"/>
    <xf borderId="67" fillId="0" fontId="2" numFmtId="0" xfId="0" applyBorder="1" applyFont="1"/>
    <xf borderId="63" fillId="50" fontId="71" numFmtId="0" xfId="0" applyAlignment="1" applyBorder="1" applyFont="1">
      <alignment horizontal="center" shrinkToFit="0" vertical="center" wrapText="0"/>
    </xf>
    <xf borderId="60" fillId="51" fontId="6" numFmtId="0" xfId="0" applyAlignment="1" applyBorder="1" applyFill="1" applyFont="1">
      <alignment horizontal="center" shrinkToFit="0" vertical="center" wrapText="0"/>
    </xf>
    <xf borderId="68" fillId="52" fontId="72" numFmtId="0" xfId="0" applyAlignment="1" applyBorder="1" applyFill="1" applyFont="1">
      <alignment horizontal="left" shrinkToFit="0" vertical="center" wrapText="1"/>
    </xf>
    <xf borderId="68" fillId="52" fontId="73" numFmtId="0" xfId="0" applyAlignment="1" applyBorder="1" applyFont="1">
      <alignment horizontal="left" shrinkToFit="0" vertical="center" wrapText="1"/>
    </xf>
    <xf borderId="68" fillId="4" fontId="72" numFmtId="0" xfId="0" applyAlignment="1" applyBorder="1" applyFont="1">
      <alignment horizontal="left" shrinkToFit="0" vertical="center" wrapText="1"/>
    </xf>
    <xf borderId="68" fillId="4" fontId="73" numFmtId="0" xfId="0" applyAlignment="1" applyBorder="1" applyFont="1">
      <alignment horizontal="left" shrinkToFit="0" vertical="center" wrapText="1"/>
    </xf>
    <xf borderId="60" fillId="4" fontId="74" numFmtId="0" xfId="0" applyAlignment="1" applyBorder="1" applyFont="1">
      <alignment horizontal="left" shrinkToFit="0" vertical="top" wrapText="1"/>
    </xf>
    <xf borderId="60" fillId="9" fontId="74" numFmtId="0" xfId="0" applyAlignment="1" applyBorder="1" applyFont="1">
      <alignment horizontal="left" shrinkToFit="0" vertical="top" wrapText="1"/>
    </xf>
    <xf borderId="6" fillId="9" fontId="75" numFmtId="0" xfId="0" applyAlignment="1" applyBorder="1" applyFont="1">
      <alignment horizontal="left" shrinkToFit="0" vertical="center" wrapText="0"/>
    </xf>
    <xf borderId="5" fillId="9" fontId="75" numFmtId="0" xfId="0" applyAlignment="1" applyBorder="1" applyFont="1">
      <alignment horizontal="center" shrinkToFit="0" vertical="center" wrapText="0"/>
    </xf>
    <xf borderId="5" fillId="9" fontId="75" numFmtId="0" xfId="0" applyAlignment="1" applyBorder="1" applyFont="1">
      <alignment horizontal="left" shrinkToFit="0" vertical="center" wrapText="0"/>
    </xf>
    <xf borderId="63" fillId="9" fontId="76" numFmtId="0" xfId="0" applyAlignment="1" applyBorder="1" applyFont="1">
      <alignment horizontal="center" shrinkToFit="0" vertical="center" wrapText="0"/>
    </xf>
    <xf borderId="63" fillId="9" fontId="77" numFmtId="0" xfId="0" applyAlignment="1" applyBorder="1" applyFont="1">
      <alignment horizontal="center" shrinkToFit="0" vertical="center" wrapText="0"/>
    </xf>
    <xf borderId="60" fillId="49" fontId="78" numFmtId="0" xfId="0" applyAlignment="1" applyBorder="1" applyFont="1">
      <alignment horizontal="left" shrinkToFit="0" vertical="center" wrapText="0"/>
    </xf>
    <xf borderId="68" fillId="48" fontId="13" numFmtId="0" xfId="0" applyAlignment="1" applyBorder="1" applyFont="1">
      <alignment horizontal="center" shrinkToFit="0" vertical="center" wrapText="0"/>
    </xf>
    <xf borderId="68" fillId="53" fontId="13" numFmtId="0" xfId="0" applyAlignment="1" applyBorder="1" applyFill="1" applyFont="1">
      <alignment horizontal="center" shrinkToFit="0" vertical="center" wrapText="1"/>
    </xf>
    <xf borderId="68" fillId="54" fontId="13" numFmtId="0" xfId="0" applyAlignment="1" applyBorder="1" applyFill="1" applyFont="1">
      <alignment horizontal="center" shrinkToFit="0" vertical="center" wrapText="1"/>
    </xf>
    <xf borderId="68" fillId="55" fontId="13" numFmtId="0" xfId="0" applyAlignment="1" applyBorder="1" applyFill="1" applyFont="1">
      <alignment horizontal="center" shrinkToFit="0" vertical="center" wrapText="1"/>
    </xf>
    <xf borderId="68" fillId="52" fontId="73" numFmtId="0" xfId="0" applyAlignment="1" applyBorder="1" applyFont="1">
      <alignment horizontal="center" shrinkToFit="0" vertical="center" wrapText="1"/>
    </xf>
    <xf borderId="68" fillId="4" fontId="73" numFmtId="0" xfId="0" applyAlignment="1" applyBorder="1" applyFont="1">
      <alignment horizontal="center" shrinkToFit="0" vertical="center" wrapText="1"/>
    </xf>
    <xf borderId="68" fillId="46" fontId="72" numFmtId="0" xfId="0" applyAlignment="1" applyBorder="1" applyFont="1">
      <alignment horizontal="left" shrinkToFit="0" vertical="center" wrapText="1"/>
    </xf>
    <xf borderId="68" fillId="46" fontId="79" numFmtId="0" xfId="0" applyAlignment="1" applyBorder="1" applyFont="1">
      <alignment horizontal="center" shrinkToFit="0" vertical="center" wrapText="1"/>
    </xf>
    <xf borderId="68" fillId="46" fontId="80" numFmtId="0" xfId="0" applyAlignment="1" applyBorder="1" applyFont="1">
      <alignment horizontal="center" shrinkToFit="0" vertical="center" wrapText="1"/>
    </xf>
    <xf borderId="68" fillId="46" fontId="81" numFmtId="0" xfId="0" applyAlignment="1" applyBorder="1" applyFont="1">
      <alignment horizontal="center" shrinkToFit="0" vertical="center" wrapText="1"/>
    </xf>
    <xf borderId="68" fillId="47" fontId="72" numFmtId="0" xfId="0" applyAlignment="1" applyBorder="1" applyFont="1">
      <alignment horizontal="center" shrinkToFit="0" vertical="center" wrapText="1"/>
    </xf>
    <xf borderId="68" fillId="48" fontId="14" numFmtId="0" xfId="0" applyAlignment="1" applyBorder="1" applyFont="1">
      <alignment horizontal="center" shrinkToFit="0" vertical="center" wrapText="0"/>
    </xf>
    <xf borderId="68" fillId="53" fontId="14" numFmtId="0" xfId="0" applyAlignment="1" applyBorder="1" applyFont="1">
      <alignment horizontal="center" shrinkToFit="0" vertical="center" wrapText="0"/>
    </xf>
    <xf borderId="68" fillId="54" fontId="14" numFmtId="0" xfId="0" applyAlignment="1" applyBorder="1" applyFont="1">
      <alignment horizontal="center" shrinkToFit="0" vertical="center" wrapText="0"/>
    </xf>
    <xf borderId="68" fillId="55" fontId="14" numFmtId="0" xfId="0" applyAlignment="1" applyBorder="1" applyFont="1">
      <alignment horizontal="center" shrinkToFit="0" vertical="center" wrapText="0"/>
    </xf>
    <xf borderId="68" fillId="9" fontId="72" numFmtId="0" xfId="0" applyAlignment="1" applyBorder="1" applyFont="1">
      <alignment horizontal="left" shrinkToFit="0" vertical="center" wrapText="0"/>
    </xf>
    <xf borderId="68" fillId="47" fontId="73" numFmtId="0" xfId="0" applyAlignment="1" applyBorder="1" applyFont="1">
      <alignment horizontal="center" shrinkToFit="0" vertical="center" wrapText="0"/>
    </xf>
    <xf borderId="68" fillId="4" fontId="73" numFmtId="0" xfId="0" applyAlignment="1" applyBorder="1" applyFont="1">
      <alignment horizontal="center" shrinkToFit="0" vertical="center" wrapText="0"/>
    </xf>
    <xf borderId="68" fillId="48" fontId="13" numFmtId="0" xfId="0" applyAlignment="1" applyBorder="1" applyFont="1">
      <alignment horizontal="left" shrinkToFit="0" vertical="center" wrapText="0"/>
    </xf>
    <xf borderId="68" fillId="50" fontId="82" numFmtId="0" xfId="0" applyAlignment="1" applyBorder="1" applyFont="1">
      <alignment horizontal="center" shrinkToFit="0" vertical="center" wrapText="0"/>
    </xf>
    <xf borderId="68" fillId="9" fontId="82" numFmtId="0" xfId="0" applyAlignment="1" applyBorder="1" applyFont="1">
      <alignment horizontal="center" shrinkToFit="0" vertical="center" wrapText="0"/>
    </xf>
    <xf borderId="60" fillId="56" fontId="83" numFmtId="0" xfId="0" applyAlignment="1" applyBorder="1" applyFill="1" applyFont="1">
      <alignment horizontal="center" shrinkToFit="0" vertical="center" wrapText="0"/>
    </xf>
    <xf borderId="60" fillId="47" fontId="84" numFmtId="0" xfId="0" applyAlignment="1" applyBorder="1" applyFont="1">
      <alignment horizontal="left" shrinkToFit="0" vertical="top" wrapText="1"/>
    </xf>
    <xf borderId="69" fillId="57" fontId="83" numFmtId="0" xfId="0" applyAlignment="1" applyBorder="1" applyFill="1" applyFont="1">
      <alignment horizontal="center" shrinkToFit="0" vertical="center" wrapText="0"/>
    </xf>
    <xf borderId="70" fillId="0" fontId="2" numFmtId="0" xfId="0" applyBorder="1" applyFont="1"/>
    <xf borderId="71" fillId="0" fontId="2" numFmtId="0" xfId="0" applyBorder="1" applyFont="1"/>
    <xf borderId="69" fillId="58" fontId="85" numFmtId="0" xfId="0" applyAlignment="1" applyBorder="1" applyFill="1" applyFont="1">
      <alignment horizontal="left" shrinkToFit="0" vertical="center" wrapText="0"/>
    </xf>
    <xf borderId="72" fillId="19" fontId="86" numFmtId="0" xfId="0" applyAlignment="1" applyBorder="1" applyFont="1">
      <alignment horizontal="center" shrinkToFit="0" vertical="center" wrapText="0"/>
    </xf>
    <xf borderId="73" fillId="0" fontId="2" numFmtId="0" xfId="0" applyBorder="1" applyFont="1"/>
    <xf borderId="72" fillId="59" fontId="87" numFmtId="0" xfId="0" applyAlignment="1" applyBorder="1" applyFill="1" applyFont="1">
      <alignment horizontal="center" shrinkToFit="0" vertical="center" wrapText="0"/>
    </xf>
    <xf borderId="74" fillId="0" fontId="2" numFmtId="0" xfId="0" applyBorder="1" applyFont="1"/>
    <xf borderId="75" fillId="0" fontId="2" numFmtId="0" xfId="0" applyBorder="1" applyFont="1"/>
    <xf borderId="76" fillId="0" fontId="2" numFmtId="0" xfId="0" applyBorder="1" applyFont="1"/>
    <xf borderId="72" fillId="59" fontId="88" numFmtId="0" xfId="0" applyAlignment="1" applyBorder="1" applyFont="1">
      <alignment horizontal="center" shrinkToFit="0" vertical="center" wrapText="0"/>
    </xf>
    <xf borderId="69" fillId="60" fontId="6" numFmtId="0" xfId="0" applyAlignment="1" applyBorder="1" applyFill="1" applyFont="1">
      <alignment horizontal="center" shrinkToFit="0" vertical="center" wrapText="0"/>
    </xf>
    <xf borderId="77" fillId="61" fontId="72" numFmtId="0" xfId="0" applyAlignment="1" applyBorder="1" applyFill="1" applyFont="1">
      <alignment horizontal="left" shrinkToFit="0" vertical="center" wrapText="1"/>
    </xf>
    <xf borderId="77" fillId="61" fontId="73" numFmtId="0" xfId="0" applyAlignment="1" applyBorder="1" applyFont="1">
      <alignment horizontal="left" shrinkToFit="0" vertical="center" wrapText="1"/>
    </xf>
    <xf borderId="77" fillId="4" fontId="72" numFmtId="0" xfId="0" applyAlignment="1" applyBorder="1" applyFont="1">
      <alignment horizontal="left" shrinkToFit="0" vertical="center" wrapText="1"/>
    </xf>
    <xf borderId="77" fillId="4" fontId="73" numFmtId="0" xfId="0" applyAlignment="1" applyBorder="1" applyFont="1">
      <alignment horizontal="left" shrinkToFit="0" vertical="center" wrapText="1"/>
    </xf>
    <xf borderId="69" fillId="4" fontId="89" numFmtId="0" xfId="0" applyAlignment="1" applyBorder="1" applyFont="1">
      <alignment horizontal="left" shrinkToFit="0" vertical="top" wrapText="1"/>
    </xf>
    <xf borderId="69" fillId="19" fontId="89" numFmtId="0" xfId="0" applyAlignment="1" applyBorder="1" applyFont="1">
      <alignment horizontal="left" shrinkToFit="0" vertical="top" wrapText="1"/>
    </xf>
    <xf borderId="6" fillId="19" fontId="75" numFmtId="0" xfId="0" applyAlignment="1" applyBorder="1" applyFont="1">
      <alignment horizontal="left" shrinkToFit="0" vertical="center" wrapText="0"/>
    </xf>
    <xf borderId="5" fillId="19" fontId="75" numFmtId="0" xfId="0" applyAlignment="1" applyBorder="1" applyFont="1">
      <alignment horizontal="center" shrinkToFit="0" vertical="center" wrapText="0"/>
    </xf>
    <xf borderId="5" fillId="19" fontId="75" numFmtId="0" xfId="0" applyAlignment="1" applyBorder="1" applyFont="1">
      <alignment horizontal="left" shrinkToFit="0" vertical="center" wrapText="0"/>
    </xf>
    <xf borderId="72" fillId="19" fontId="90" numFmtId="0" xfId="0" applyAlignment="1" applyBorder="1" applyFont="1">
      <alignment horizontal="center" shrinkToFit="0" vertical="center" wrapText="0"/>
    </xf>
    <xf borderId="72" fillId="19" fontId="91" numFmtId="0" xfId="0" applyAlignment="1" applyBorder="1" applyFont="1">
      <alignment horizontal="center" shrinkToFit="0" vertical="center" wrapText="0"/>
    </xf>
    <xf borderId="69" fillId="58" fontId="92" numFmtId="0" xfId="0" applyAlignment="1" applyBorder="1" applyFont="1">
      <alignment horizontal="left" shrinkToFit="0" vertical="center" wrapText="0"/>
    </xf>
    <xf borderId="77" fillId="57" fontId="13" numFmtId="0" xfId="0" applyAlignment="1" applyBorder="1" applyFont="1">
      <alignment horizontal="center" shrinkToFit="0" vertical="center" wrapText="0"/>
    </xf>
    <xf borderId="77" fillId="62" fontId="13" numFmtId="0" xfId="0" applyAlignment="1" applyBorder="1" applyFill="1" applyFont="1">
      <alignment horizontal="center" shrinkToFit="0" vertical="center" wrapText="1"/>
    </xf>
    <xf borderId="77" fillId="54" fontId="13" numFmtId="0" xfId="0" applyAlignment="1" applyBorder="1" applyFont="1">
      <alignment horizontal="center" shrinkToFit="0" vertical="center" wrapText="1"/>
    </xf>
    <xf borderId="77" fillId="63" fontId="13" numFmtId="0" xfId="0" applyAlignment="1" applyBorder="1" applyFill="1" applyFont="1">
      <alignment horizontal="center" shrinkToFit="0" vertical="center" wrapText="1"/>
    </xf>
    <xf borderId="77" fillId="61" fontId="73" numFmtId="0" xfId="0" applyAlignment="1" applyBorder="1" applyFont="1">
      <alignment horizontal="center" shrinkToFit="0" vertical="center" wrapText="1"/>
    </xf>
    <xf borderId="77" fillId="4" fontId="73" numFmtId="0" xfId="0" applyAlignment="1" applyBorder="1" applyFont="1">
      <alignment horizontal="center" shrinkToFit="0" vertical="center" wrapText="1"/>
    </xf>
    <xf borderId="77" fillId="46" fontId="72" numFmtId="0" xfId="0" applyAlignment="1" applyBorder="1" applyFont="1">
      <alignment horizontal="left" shrinkToFit="0" vertical="center" wrapText="1"/>
    </xf>
    <xf borderId="77" fillId="46" fontId="93" numFmtId="0" xfId="0" applyAlignment="1" applyBorder="1" applyFont="1">
      <alignment horizontal="center" shrinkToFit="0" vertical="center" wrapText="1"/>
    </xf>
    <xf borderId="77" fillId="46" fontId="94" numFmtId="0" xfId="0" applyAlignment="1" applyBorder="1" applyFont="1">
      <alignment horizontal="center" shrinkToFit="0" vertical="center" wrapText="1"/>
    </xf>
    <xf borderId="77" fillId="46" fontId="95" numFmtId="0" xfId="0" applyAlignment="1" applyBorder="1" applyFont="1">
      <alignment horizontal="center" shrinkToFit="0" vertical="center" wrapText="1"/>
    </xf>
    <xf borderId="77" fillId="47" fontId="72" numFmtId="0" xfId="0" applyAlignment="1" applyBorder="1" applyFont="1">
      <alignment horizontal="center" shrinkToFit="0" vertical="center" wrapText="1"/>
    </xf>
    <xf borderId="77" fillId="57" fontId="14" numFmtId="0" xfId="0" applyAlignment="1" applyBorder="1" applyFont="1">
      <alignment horizontal="center" shrinkToFit="0" vertical="center" wrapText="0"/>
    </xf>
    <xf borderId="77" fillId="62" fontId="14" numFmtId="0" xfId="0" applyAlignment="1" applyBorder="1" applyFont="1">
      <alignment horizontal="center" shrinkToFit="0" vertical="center" wrapText="0"/>
    </xf>
    <xf borderId="77" fillId="54" fontId="14" numFmtId="0" xfId="0" applyAlignment="1" applyBorder="1" applyFont="1">
      <alignment horizontal="center" shrinkToFit="0" vertical="center" wrapText="0"/>
    </xf>
    <xf borderId="77" fillId="63" fontId="14" numFmtId="0" xfId="0" applyAlignment="1" applyBorder="1" applyFont="1">
      <alignment horizontal="center" shrinkToFit="0" vertical="center" wrapText="0"/>
    </xf>
    <xf borderId="77" fillId="19" fontId="72" numFmtId="0" xfId="0" applyAlignment="1" applyBorder="1" applyFont="1">
      <alignment horizontal="left" shrinkToFit="0" vertical="center" wrapText="0"/>
    </xf>
    <xf borderId="77" fillId="47" fontId="73" numFmtId="0" xfId="0" applyAlignment="1" applyBorder="1" applyFont="1">
      <alignment horizontal="center" shrinkToFit="0" vertical="center" wrapText="0"/>
    </xf>
    <xf borderId="77" fillId="4" fontId="73" numFmtId="0" xfId="0" applyAlignment="1" applyBorder="1" applyFont="1">
      <alignment horizontal="center" shrinkToFit="0" vertical="center" wrapText="0"/>
    </xf>
    <xf borderId="77" fillId="57" fontId="13" numFmtId="0" xfId="0" applyAlignment="1" applyBorder="1" applyFont="1">
      <alignment horizontal="left" shrinkToFit="0" vertical="center" wrapText="0"/>
    </xf>
    <xf borderId="77" fillId="59" fontId="82" numFmtId="0" xfId="0" applyAlignment="1" applyBorder="1" applyFont="1">
      <alignment horizontal="center" shrinkToFit="0" vertical="center" wrapText="0"/>
    </xf>
    <xf borderId="77" fillId="19" fontId="82" numFmtId="0" xfId="0" applyAlignment="1" applyBorder="1" applyFont="1">
      <alignment horizontal="center" shrinkToFit="0" vertical="center" wrapText="0"/>
    </xf>
    <xf borderId="69" fillId="64" fontId="83" numFmtId="0" xfId="0" applyAlignment="1" applyBorder="1" applyFill="1" applyFont="1">
      <alignment horizontal="center" shrinkToFit="0" vertical="center" wrapText="0"/>
    </xf>
    <xf borderId="69" fillId="47" fontId="96" numFmtId="0" xfId="0" applyAlignment="1" applyBorder="1" applyFont="1">
      <alignment horizontal="left" shrinkToFit="0" vertical="top" wrapText="1"/>
    </xf>
    <xf borderId="6" fillId="65" fontId="60" numFmtId="0" xfId="0" applyAlignment="1" applyBorder="1" applyFill="1" applyFont="1">
      <alignment horizontal="center" shrinkToFit="0" vertical="center" wrapText="1"/>
    </xf>
    <xf borderId="6" fillId="66" fontId="97" numFmtId="0" xfId="0" applyAlignment="1" applyBorder="1" applyFill="1" applyFont="1">
      <alignment horizontal="left" shrinkToFit="0" vertical="center" wrapText="1"/>
    </xf>
    <xf borderId="9" fillId="67" fontId="98" numFmtId="0" xfId="0" applyAlignment="1" applyBorder="1" applyFill="1" applyFont="1">
      <alignment horizontal="center" shrinkToFit="0" vertical="center" wrapText="1"/>
    </xf>
    <xf borderId="9" fillId="65" fontId="51" numFmtId="0" xfId="0" applyAlignment="1" applyBorder="1" applyFont="1">
      <alignment horizontal="center" shrinkToFit="0" vertical="center" wrapText="1"/>
    </xf>
    <xf borderId="6" fillId="68" fontId="6" numFmtId="0" xfId="0" applyAlignment="1" applyBorder="1" applyFill="1" applyFont="1">
      <alignment horizontal="center" shrinkToFit="0" vertical="center" wrapText="1"/>
    </xf>
    <xf borderId="78" fillId="65" fontId="14" numFmtId="0" xfId="0" applyAlignment="1" applyBorder="1" applyFont="1">
      <alignment horizontal="left" shrinkToFit="0" vertical="center" wrapText="1"/>
    </xf>
    <xf borderId="78" fillId="66" fontId="55" numFmtId="0" xfId="0" applyAlignment="1" applyBorder="1" applyFont="1">
      <alignment horizontal="left" shrinkToFit="0" vertical="center" wrapText="1"/>
    </xf>
    <xf borderId="78" fillId="68" fontId="14" numFmtId="0" xfId="0" applyAlignment="1" applyBorder="1" applyFont="1">
      <alignment horizontal="left" shrinkToFit="0" vertical="center" wrapText="1"/>
    </xf>
    <xf borderId="78" fillId="69" fontId="55" numFmtId="0" xfId="0" applyAlignment="1" applyBorder="1" applyFill="1" applyFont="1">
      <alignment horizontal="left" shrinkToFit="0" vertical="center" wrapText="1"/>
    </xf>
    <xf borderId="79" fillId="19" fontId="55" numFmtId="0" xfId="0" applyAlignment="1" applyBorder="1" applyFont="1">
      <alignment horizontal="left" shrinkToFit="0" vertical="center" wrapText="1"/>
    </xf>
    <xf borderId="80" fillId="0" fontId="2" numFmtId="0" xfId="0" applyBorder="1" applyFont="1"/>
    <xf borderId="81" fillId="0" fontId="2" numFmtId="0" xfId="0" applyBorder="1" applyFont="1"/>
    <xf borderId="82" fillId="0" fontId="2" numFmtId="0" xfId="0" applyBorder="1" applyFont="1"/>
    <xf borderId="83" fillId="0" fontId="2" numFmtId="0" xfId="0" applyBorder="1" applyFont="1"/>
    <xf borderId="6" fillId="65" fontId="56" numFmtId="0" xfId="0" applyAlignment="1" applyBorder="1" applyFont="1">
      <alignment horizontal="center" shrinkToFit="0" vertical="center" wrapText="1"/>
    </xf>
    <xf borderId="84" fillId="4" fontId="55" numFmtId="0" xfId="0" applyAlignment="1" applyBorder="1" applyFont="1">
      <alignment horizontal="left" shrinkToFit="0" vertical="center" wrapText="1"/>
    </xf>
    <xf borderId="85" fillId="0" fontId="2" numFmtId="0" xfId="0" applyBorder="1" applyFont="1"/>
    <xf borderId="86" fillId="0" fontId="2" numFmtId="0" xfId="0" applyBorder="1" applyFont="1"/>
    <xf borderId="87" fillId="0" fontId="2" numFmtId="0" xfId="0" applyBorder="1" applyFont="1"/>
    <xf borderId="88" fillId="0" fontId="2" numFmtId="0" xfId="0" applyBorder="1" applyFont="1"/>
    <xf borderId="5" fillId="70" fontId="9" numFmtId="0" xfId="0" applyAlignment="1" applyBorder="1" applyFill="1" applyFont="1">
      <alignment shrinkToFit="0" vertical="bottom" wrapText="0"/>
    </xf>
    <xf borderId="6" fillId="70" fontId="99" numFmtId="0" xfId="0" applyAlignment="1" applyBorder="1" applyFont="1">
      <alignment horizontal="left" shrinkToFit="0" vertical="center" wrapText="1"/>
    </xf>
    <xf borderId="5" fillId="70" fontId="99" numFmtId="0" xfId="0" applyAlignment="1" applyBorder="1" applyFont="1">
      <alignment horizontal="center" shrinkToFit="0" vertical="center" wrapText="1"/>
    </xf>
    <xf borderId="6" fillId="70" fontId="99" numFmtId="0" xfId="0" applyAlignment="1" applyBorder="1" applyFont="1">
      <alignment horizontal="right" shrinkToFit="0" vertical="center" wrapText="1"/>
    </xf>
    <xf borderId="9" fillId="67" fontId="100" numFmtId="0" xfId="0" applyAlignment="1" applyBorder="1" applyFont="1">
      <alignment horizontal="center" shrinkToFit="0" vertical="center" wrapText="1"/>
    </xf>
    <xf borderId="9" fillId="67" fontId="101" numFmtId="0" xfId="0" applyAlignment="1" applyBorder="1" applyFont="1">
      <alignment horizontal="center" shrinkToFit="0" vertical="center" wrapText="1"/>
    </xf>
    <xf borderId="6" fillId="66" fontId="102" numFmtId="0" xfId="0" applyAlignment="1" applyBorder="1" applyFont="1">
      <alignment horizontal="center" shrinkToFit="0" vertical="center" wrapText="1"/>
    </xf>
    <xf borderId="78" fillId="65" fontId="56" numFmtId="0" xfId="0" applyAlignment="1" applyBorder="1" applyFont="1">
      <alignment horizontal="center" shrinkToFit="0" vertical="center" wrapText="1"/>
    </xf>
    <xf borderId="78" fillId="68" fontId="14" numFmtId="0" xfId="0" applyAlignment="1" applyBorder="1" applyFont="1">
      <alignment horizontal="center" shrinkToFit="0" vertical="center" wrapText="1"/>
    </xf>
    <xf borderId="78" fillId="66" fontId="103" numFmtId="0" xfId="0" applyAlignment="1" applyBorder="1" applyFont="1">
      <alignment horizontal="center" shrinkToFit="0" vertical="center" wrapText="1"/>
    </xf>
    <xf borderId="78" fillId="66" fontId="55" numFmtId="0" xfId="0" applyAlignment="1" applyBorder="1" applyFont="1">
      <alignment horizontal="center" shrinkToFit="0" vertical="center" wrapText="1"/>
    </xf>
    <xf borderId="78" fillId="69" fontId="63" numFmtId="0" xfId="0" applyAlignment="1" applyBorder="1" applyFont="1">
      <alignment horizontal="center" shrinkToFit="0" vertical="center" wrapText="1"/>
    </xf>
    <xf borderId="78" fillId="46" fontId="96" numFmtId="0" xfId="0" applyAlignment="1" applyBorder="1" applyFont="1">
      <alignment horizontal="center" shrinkToFit="0" vertical="center" wrapText="1"/>
    </xf>
    <xf borderId="78" fillId="69" fontId="55" numFmtId="0" xfId="0" applyAlignment="1" applyBorder="1" applyFont="1">
      <alignment horizontal="center" shrinkToFit="0" vertical="center" wrapText="1"/>
    </xf>
    <xf borderId="78" fillId="47" fontId="96" numFmtId="0" xfId="0" applyAlignment="1" applyBorder="1" applyFont="1">
      <alignment horizontal="center" shrinkToFit="0" vertical="center" wrapText="1"/>
    </xf>
    <xf borderId="6" fillId="65" fontId="66" numFmtId="0" xfId="0" applyAlignment="1" applyBorder="1" applyFont="1">
      <alignment horizontal="center" shrinkToFit="0" vertical="center" wrapText="1"/>
    </xf>
    <xf borderId="6" fillId="47" fontId="104" numFmtId="0" xfId="0" applyAlignment="1" applyBorder="1" applyFont="1">
      <alignment horizontal="center" shrinkToFit="0" vertical="center" wrapText="1"/>
    </xf>
    <xf borderId="89" fillId="69" fontId="55" numFmtId="0" xfId="0" applyAlignment="1" applyBorder="1" applyFont="1">
      <alignment horizontal="left" shrinkToFit="0" vertical="center" wrapText="1"/>
    </xf>
    <xf borderId="90" fillId="0" fontId="2" numFmtId="0" xfId="0" applyBorder="1" applyFont="1"/>
    <xf borderId="91" fillId="0" fontId="2" numFmtId="0" xfId="0" applyBorder="1" applyFont="1"/>
    <xf borderId="89" fillId="66" fontId="5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0</xdr:rowOff>
    </xdr:from>
    <xdr:ext cx="304800" cy="304800"/>
    <xdr:sp>
      <xdr:nvSpPr>
        <xdr:cNvPr descr="Amazon Web Services - Wikipedi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133350</xdr:colOff>
      <xdr:row>2</xdr:row>
      <xdr:rowOff>76200</xdr:rowOff>
    </xdr:from>
    <xdr:ext cx="2819400" cy="18859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838200</xdr:colOff>
      <xdr:row>2</xdr:row>
      <xdr:rowOff>95250</xdr:rowOff>
    </xdr:from>
    <xdr:ext cx="1428750" cy="1428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1123950</xdr:colOff>
      <xdr:row>1</xdr:row>
      <xdr:rowOff>142875</xdr:rowOff>
    </xdr:from>
    <xdr:ext cx="1504950" cy="1504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ws.amazon.com/ec2/instance-types/t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zure.microsoft.com/pricing/details/virtual-machin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loud.google.com/compute/docs/general-purpose-machin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25.14"/>
    <col customWidth="1" min="2" max="2" width="24.14"/>
    <col customWidth="1" min="3" max="3" width="21.57"/>
    <col customWidth="1" min="4" max="4" width="33.57"/>
    <col customWidth="1" min="5" max="26" width="8.71"/>
  </cols>
  <sheetData>
    <row r="1" ht="39.75" customHeight="1">
      <c r="A1" s="1" t="s">
        <v>0</v>
      </c>
      <c r="B1" s="2"/>
      <c r="C1" s="2"/>
      <c r="D1" s="3"/>
    </row>
    <row r="2" ht="19.5" customHeight="1">
      <c r="A2" s="4" t="s">
        <v>1</v>
      </c>
      <c r="B2" s="2"/>
      <c r="C2" s="2"/>
      <c r="D2" s="3"/>
    </row>
    <row r="3" ht="159.0" customHeight="1">
      <c r="A3" s="5" t="s">
        <v>2</v>
      </c>
      <c r="B3" s="3"/>
      <c r="C3" s="6" t="s">
        <v>3</v>
      </c>
      <c r="D3" s="3"/>
    </row>
    <row r="4" ht="21.75" customHeight="1">
      <c r="A4" s="7" t="s">
        <v>4</v>
      </c>
      <c r="B4" s="2"/>
      <c r="C4" s="2"/>
      <c r="D4" s="3"/>
    </row>
    <row r="5" ht="31.5" customHeight="1">
      <c r="A5" s="8" t="s">
        <v>5</v>
      </c>
      <c r="B5" s="9" t="s">
        <v>6</v>
      </c>
      <c r="C5" s="8" t="s">
        <v>7</v>
      </c>
      <c r="D5" s="9" t="s">
        <v>8</v>
      </c>
    </row>
    <row r="6" ht="31.5" customHeight="1">
      <c r="A6" s="8" t="s">
        <v>9</v>
      </c>
      <c r="B6" s="10" t="s">
        <v>10</v>
      </c>
      <c r="C6" s="8" t="s">
        <v>11</v>
      </c>
      <c r="D6" s="10" t="s">
        <v>12</v>
      </c>
    </row>
    <row r="7" ht="31.5" customHeight="1">
      <c r="A7" s="8" t="s">
        <v>13</v>
      </c>
      <c r="B7" s="9" t="s">
        <v>14</v>
      </c>
      <c r="C7" s="8" t="s">
        <v>15</v>
      </c>
      <c r="D7" s="9" t="s">
        <v>16</v>
      </c>
    </row>
    <row r="8" ht="31.5" customHeight="1">
      <c r="A8" s="8" t="s">
        <v>17</v>
      </c>
      <c r="B8" s="10" t="s">
        <v>18</v>
      </c>
      <c r="C8" s="8" t="s">
        <v>19</v>
      </c>
      <c r="D8" s="10" t="s">
        <v>20</v>
      </c>
    </row>
    <row r="9" ht="31.5" customHeight="1">
      <c r="A9" s="8" t="s">
        <v>21</v>
      </c>
      <c r="B9" s="9" t="s">
        <v>22</v>
      </c>
      <c r="C9" s="8" t="s">
        <v>23</v>
      </c>
      <c r="D9" s="9" t="s">
        <v>24</v>
      </c>
    </row>
    <row r="10" ht="31.5" customHeight="1">
      <c r="A10" s="8" t="s">
        <v>25</v>
      </c>
      <c r="B10" s="10" t="s">
        <v>26</v>
      </c>
      <c r="C10" s="8" t="s">
        <v>27</v>
      </c>
      <c r="D10" s="10" t="s">
        <v>28</v>
      </c>
      <c r="F10" s="11"/>
    </row>
    <row r="11" ht="31.5" customHeight="1">
      <c r="A11" s="8" t="s">
        <v>29</v>
      </c>
      <c r="B11" s="9" t="s">
        <v>30</v>
      </c>
      <c r="C11" s="8" t="s">
        <v>31</v>
      </c>
      <c r="D11" s="9" t="s">
        <v>32</v>
      </c>
    </row>
    <row r="12" ht="31.5" customHeight="1">
      <c r="A12" s="8" t="s">
        <v>33</v>
      </c>
      <c r="B12" s="10" t="s">
        <v>34</v>
      </c>
      <c r="C12" s="8" t="s">
        <v>35</v>
      </c>
      <c r="D12" s="10" t="s">
        <v>36</v>
      </c>
    </row>
    <row r="13" ht="31.5" customHeight="1">
      <c r="A13" s="8" t="s">
        <v>37</v>
      </c>
      <c r="B13" s="9" t="s">
        <v>38</v>
      </c>
      <c r="C13" s="8" t="s">
        <v>39</v>
      </c>
      <c r="D13" s="12" t="s">
        <v>40</v>
      </c>
    </row>
    <row r="14" ht="39.0" customHeight="1">
      <c r="A14" s="8" t="s">
        <v>41</v>
      </c>
      <c r="B14" s="13" t="s">
        <v>42</v>
      </c>
      <c r="C14" s="8" t="s">
        <v>43</v>
      </c>
      <c r="D14" s="10" t="s">
        <v>44</v>
      </c>
    </row>
    <row r="15" ht="21.75" customHeight="1">
      <c r="A15" s="7" t="s">
        <v>45</v>
      </c>
      <c r="B15" s="2"/>
      <c r="C15" s="2"/>
      <c r="D15" s="3"/>
    </row>
    <row r="16" ht="79.5" customHeight="1">
      <c r="A16" s="14" t="s">
        <v>46</v>
      </c>
      <c r="B16" s="2"/>
      <c r="C16" s="2"/>
      <c r="D16" s="3"/>
    </row>
    <row r="17" ht="19.5" customHeight="1">
      <c r="A17" s="4" t="s">
        <v>47</v>
      </c>
      <c r="B17" s="2"/>
      <c r="C17" s="2"/>
      <c r="D17" s="3"/>
    </row>
    <row r="18" ht="60.0" customHeight="1">
      <c r="A18" s="15" t="s">
        <v>48</v>
      </c>
      <c r="B18" s="2"/>
      <c r="C18" s="2"/>
      <c r="D18" s="3"/>
    </row>
    <row r="19" ht="27.75" customHeight="1">
      <c r="A19" s="16" t="s">
        <v>49</v>
      </c>
      <c r="B19" s="2"/>
      <c r="C19" s="2"/>
      <c r="D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D17"/>
    <mergeCell ref="A18:D18"/>
    <mergeCell ref="A19:D19"/>
    <mergeCell ref="A1:D1"/>
    <mergeCell ref="A2:D2"/>
    <mergeCell ref="A3:B3"/>
    <mergeCell ref="C3:D3"/>
    <mergeCell ref="A4:D4"/>
    <mergeCell ref="A15:D15"/>
    <mergeCell ref="A16:D16"/>
  </mergeCells>
  <hyperlinks>
    <hyperlink r:id="rId1" ref="B14"/>
  </hyperlinks>
  <printOptions/>
  <pageMargins bottom="0.12" footer="0.0" header="0.0" left="0.12" right="0.12" top="0.87"/>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25.14"/>
    <col customWidth="1" min="2" max="2" width="26.0"/>
    <col customWidth="1" min="3" max="3" width="21.57"/>
    <col customWidth="1" min="4" max="4" width="26.71"/>
    <col customWidth="1" min="5" max="26" width="8.71"/>
  </cols>
  <sheetData>
    <row r="1" ht="39.75" customHeight="1">
      <c r="A1" s="1" t="s">
        <v>0</v>
      </c>
      <c r="B1" s="2"/>
      <c r="C1" s="2"/>
      <c r="D1" s="3"/>
    </row>
    <row r="2" ht="19.5" customHeight="1">
      <c r="A2" s="4" t="s">
        <v>50</v>
      </c>
      <c r="B2" s="2"/>
      <c r="C2" s="2"/>
      <c r="D2" s="3"/>
    </row>
    <row r="3" ht="117.75" customHeight="1">
      <c r="A3" s="5"/>
      <c r="B3" s="3"/>
      <c r="C3" s="6" t="s">
        <v>51</v>
      </c>
      <c r="D3" s="3"/>
    </row>
    <row r="4" ht="21.75" customHeight="1">
      <c r="A4" s="7" t="s">
        <v>4</v>
      </c>
      <c r="B4" s="2"/>
      <c r="C4" s="2"/>
      <c r="D4" s="3"/>
    </row>
    <row r="5" ht="31.5" customHeight="1">
      <c r="A5" s="8" t="s">
        <v>5</v>
      </c>
      <c r="B5" s="9" t="s">
        <v>52</v>
      </c>
      <c r="C5" s="8" t="s">
        <v>7</v>
      </c>
      <c r="D5" s="9" t="s">
        <v>53</v>
      </c>
    </row>
    <row r="6" ht="31.5" customHeight="1">
      <c r="A6" s="8" t="s">
        <v>9</v>
      </c>
      <c r="B6" s="10" t="s">
        <v>10</v>
      </c>
      <c r="C6" s="8" t="s">
        <v>11</v>
      </c>
      <c r="D6" s="10" t="s">
        <v>54</v>
      </c>
    </row>
    <row r="7" ht="31.5" customHeight="1">
      <c r="A7" s="8" t="s">
        <v>13</v>
      </c>
      <c r="B7" s="9" t="s">
        <v>14</v>
      </c>
      <c r="C7" s="8" t="s">
        <v>15</v>
      </c>
      <c r="D7" s="9" t="s">
        <v>16</v>
      </c>
    </row>
    <row r="8" ht="31.5" customHeight="1">
      <c r="A8" s="8" t="s">
        <v>17</v>
      </c>
      <c r="B8" s="17" t="s">
        <v>55</v>
      </c>
      <c r="C8" s="8" t="s">
        <v>19</v>
      </c>
      <c r="D8" s="10" t="s">
        <v>56</v>
      </c>
    </row>
    <row r="9" ht="31.5" customHeight="1">
      <c r="A9" s="8" t="s">
        <v>21</v>
      </c>
      <c r="B9" s="9" t="s">
        <v>22</v>
      </c>
      <c r="C9" s="8" t="s">
        <v>23</v>
      </c>
      <c r="D9" s="9" t="s">
        <v>57</v>
      </c>
    </row>
    <row r="10" ht="31.5" customHeight="1">
      <c r="A10" s="8" t="s">
        <v>25</v>
      </c>
      <c r="B10" s="10" t="s">
        <v>58</v>
      </c>
      <c r="C10" s="8" t="s">
        <v>27</v>
      </c>
      <c r="D10" s="10" t="s">
        <v>59</v>
      </c>
    </row>
    <row r="11" ht="31.5" customHeight="1">
      <c r="A11" s="8" t="s">
        <v>29</v>
      </c>
      <c r="B11" s="9" t="s">
        <v>60</v>
      </c>
      <c r="C11" s="8" t="s">
        <v>31</v>
      </c>
      <c r="D11" s="9" t="s">
        <v>61</v>
      </c>
    </row>
    <row r="12" ht="31.5" customHeight="1">
      <c r="A12" s="8" t="s">
        <v>33</v>
      </c>
      <c r="B12" s="10" t="s">
        <v>62</v>
      </c>
      <c r="C12" s="8" t="s">
        <v>35</v>
      </c>
      <c r="D12" s="10" t="s">
        <v>63</v>
      </c>
    </row>
    <row r="13" ht="31.5" customHeight="1">
      <c r="A13" s="8" t="s">
        <v>37</v>
      </c>
      <c r="B13" s="9" t="s">
        <v>64</v>
      </c>
      <c r="C13" s="8" t="s">
        <v>39</v>
      </c>
      <c r="D13" s="9" t="s">
        <v>65</v>
      </c>
    </row>
    <row r="14" ht="51.75" customHeight="1">
      <c r="A14" s="8" t="s">
        <v>41</v>
      </c>
      <c r="B14" s="13" t="s">
        <v>66</v>
      </c>
      <c r="C14" s="8" t="s">
        <v>43</v>
      </c>
      <c r="D14" s="10" t="s">
        <v>67</v>
      </c>
    </row>
    <row r="15" ht="21.75" customHeight="1">
      <c r="A15" s="7" t="s">
        <v>45</v>
      </c>
      <c r="B15" s="2"/>
      <c r="C15" s="2"/>
      <c r="D15" s="3"/>
    </row>
    <row r="16" ht="79.5" customHeight="1">
      <c r="A16" s="14" t="s">
        <v>68</v>
      </c>
      <c r="B16" s="2"/>
      <c r="C16" s="2"/>
      <c r="D16" s="3"/>
    </row>
    <row r="17" ht="19.5" customHeight="1">
      <c r="A17" s="4" t="s">
        <v>47</v>
      </c>
      <c r="B17" s="2"/>
      <c r="C17" s="2"/>
      <c r="D17" s="3"/>
    </row>
    <row r="18" ht="60.0" customHeight="1">
      <c r="A18" s="15" t="s">
        <v>69</v>
      </c>
      <c r="B18" s="2"/>
      <c r="C18" s="2"/>
      <c r="D18" s="3"/>
    </row>
    <row r="19" ht="27.75" customHeight="1">
      <c r="A19" s="16" t="s">
        <v>70</v>
      </c>
      <c r="B19" s="2"/>
      <c r="C19" s="2"/>
      <c r="D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D17"/>
    <mergeCell ref="A18:D18"/>
    <mergeCell ref="A19:D19"/>
    <mergeCell ref="A1:D1"/>
    <mergeCell ref="A2:D2"/>
    <mergeCell ref="A3:B3"/>
    <mergeCell ref="C3:D3"/>
    <mergeCell ref="A4:D4"/>
    <mergeCell ref="A15:D15"/>
    <mergeCell ref="A16:D16"/>
  </mergeCells>
  <hyperlinks>
    <hyperlink r:id="rId1" ref="B14"/>
  </hyperlinks>
  <printOptions/>
  <pageMargins bottom="1.0" footer="0.0" header="0.0" left="0.28" right="0.12"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22.57"/>
    <col customWidth="1" min="2" max="2" width="29.43"/>
    <col customWidth="1" min="3" max="3" width="21.57"/>
    <col customWidth="1" min="4" max="4" width="29.14"/>
    <col customWidth="1" min="5" max="26" width="8.71"/>
  </cols>
  <sheetData>
    <row r="1" ht="39.75" customHeight="1">
      <c r="A1" s="1" t="s">
        <v>0</v>
      </c>
      <c r="B1" s="2"/>
      <c r="C1" s="2"/>
      <c r="D1" s="3"/>
    </row>
    <row r="2" ht="19.5" customHeight="1">
      <c r="A2" s="4" t="s">
        <v>71</v>
      </c>
      <c r="B2" s="2"/>
      <c r="C2" s="2"/>
      <c r="D2" s="3"/>
    </row>
    <row r="3" ht="102.0" customHeight="1">
      <c r="A3" s="5"/>
      <c r="B3" s="3"/>
      <c r="C3" s="6" t="s">
        <v>72</v>
      </c>
      <c r="D3" s="3"/>
    </row>
    <row r="4" ht="21.75" customHeight="1">
      <c r="A4" s="7" t="s">
        <v>4</v>
      </c>
      <c r="B4" s="2"/>
      <c r="C4" s="2"/>
      <c r="D4" s="3"/>
    </row>
    <row r="5" ht="31.5" customHeight="1">
      <c r="A5" s="8" t="s">
        <v>5</v>
      </c>
      <c r="B5" s="9" t="s">
        <v>73</v>
      </c>
      <c r="C5" s="8" t="s">
        <v>7</v>
      </c>
      <c r="D5" s="9" t="s">
        <v>74</v>
      </c>
    </row>
    <row r="6" ht="31.5" customHeight="1">
      <c r="A6" s="8" t="s">
        <v>9</v>
      </c>
      <c r="B6" s="10" t="s">
        <v>10</v>
      </c>
      <c r="C6" s="8" t="s">
        <v>11</v>
      </c>
      <c r="D6" s="10" t="s">
        <v>75</v>
      </c>
    </row>
    <row r="7" ht="31.5" customHeight="1">
      <c r="A7" s="8" t="s">
        <v>13</v>
      </c>
      <c r="B7" s="9" t="s">
        <v>14</v>
      </c>
      <c r="C7" s="8" t="s">
        <v>15</v>
      </c>
      <c r="D7" s="9" t="s">
        <v>16</v>
      </c>
    </row>
    <row r="8" ht="31.5" customHeight="1">
      <c r="A8" s="8" t="s">
        <v>17</v>
      </c>
      <c r="B8" s="10" t="s">
        <v>76</v>
      </c>
      <c r="C8" s="8" t="s">
        <v>19</v>
      </c>
      <c r="D8" s="10" t="s">
        <v>77</v>
      </c>
    </row>
    <row r="9" ht="31.5" customHeight="1">
      <c r="A9" s="8" t="s">
        <v>21</v>
      </c>
      <c r="B9" s="9" t="s">
        <v>22</v>
      </c>
      <c r="C9" s="8" t="s">
        <v>23</v>
      </c>
      <c r="D9" s="9" t="s">
        <v>78</v>
      </c>
    </row>
    <row r="10" ht="31.5" customHeight="1">
      <c r="A10" s="8" t="s">
        <v>25</v>
      </c>
      <c r="B10" s="10" t="s">
        <v>79</v>
      </c>
      <c r="C10" s="8" t="s">
        <v>27</v>
      </c>
      <c r="D10" s="10" t="s">
        <v>80</v>
      </c>
    </row>
    <row r="11" ht="31.5" customHeight="1">
      <c r="A11" s="8" t="s">
        <v>29</v>
      </c>
      <c r="B11" s="9" t="s">
        <v>81</v>
      </c>
      <c r="C11" s="8" t="s">
        <v>31</v>
      </c>
      <c r="D11" s="9" t="s">
        <v>82</v>
      </c>
    </row>
    <row r="12" ht="31.5" customHeight="1">
      <c r="A12" s="8" t="s">
        <v>33</v>
      </c>
      <c r="B12" s="10" t="s">
        <v>83</v>
      </c>
      <c r="C12" s="8" t="s">
        <v>35</v>
      </c>
      <c r="D12" s="10" t="s">
        <v>84</v>
      </c>
    </row>
    <row r="13" ht="31.5" customHeight="1">
      <c r="A13" s="8" t="s">
        <v>37</v>
      </c>
      <c r="B13" s="9" t="s">
        <v>85</v>
      </c>
      <c r="C13" s="8" t="s">
        <v>39</v>
      </c>
      <c r="D13" s="9" t="s">
        <v>86</v>
      </c>
    </row>
    <row r="14" ht="52.5" customHeight="1">
      <c r="A14" s="8" t="s">
        <v>41</v>
      </c>
      <c r="B14" s="13" t="s">
        <v>87</v>
      </c>
      <c r="C14" s="8" t="s">
        <v>43</v>
      </c>
      <c r="D14" s="10" t="s">
        <v>88</v>
      </c>
    </row>
    <row r="15" ht="21.75" customHeight="1">
      <c r="A15" s="7" t="s">
        <v>45</v>
      </c>
      <c r="B15" s="2"/>
      <c r="C15" s="2"/>
      <c r="D15" s="3"/>
    </row>
    <row r="16" ht="79.5" customHeight="1">
      <c r="A16" s="14" t="s">
        <v>89</v>
      </c>
      <c r="B16" s="2"/>
      <c r="C16" s="2"/>
      <c r="D16" s="3"/>
    </row>
    <row r="17" ht="19.5" customHeight="1">
      <c r="A17" s="4" t="s">
        <v>47</v>
      </c>
      <c r="B17" s="2"/>
      <c r="C17" s="2"/>
      <c r="D17" s="3"/>
    </row>
    <row r="18" ht="60.0" customHeight="1">
      <c r="A18" s="15" t="s">
        <v>90</v>
      </c>
      <c r="B18" s="2"/>
      <c r="C18" s="2"/>
      <c r="D18" s="3"/>
    </row>
    <row r="19" ht="27.75" customHeight="1">
      <c r="A19" s="16" t="s">
        <v>91</v>
      </c>
      <c r="B19" s="2"/>
      <c r="C19" s="2"/>
      <c r="D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D17"/>
    <mergeCell ref="A18:D18"/>
    <mergeCell ref="A19:D19"/>
    <mergeCell ref="A1:D1"/>
    <mergeCell ref="A2:D2"/>
    <mergeCell ref="A3:B3"/>
    <mergeCell ref="C3:D3"/>
    <mergeCell ref="A4:D4"/>
    <mergeCell ref="A15:D15"/>
    <mergeCell ref="A16:D16"/>
  </mergeCells>
  <hyperlinks>
    <hyperlink r:id="rId1" ref="B14"/>
  </hyperlinks>
  <printOptions/>
  <pageMargins bottom="1.0" footer="0.0" header="0.0" left="0.12" right="0.13" top="1.0"/>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22.14"/>
    <col customWidth="1" min="2" max="2" width="16.14"/>
    <col customWidth="1" min="3" max="3" width="16.29"/>
    <col customWidth="1" min="4" max="4" width="21.29"/>
    <col customWidth="1" min="5" max="5" width="10.29"/>
    <col customWidth="1" min="6" max="26" width="8.71"/>
  </cols>
  <sheetData>
    <row r="1">
      <c r="A1" s="1" t="s">
        <v>92</v>
      </c>
      <c r="B1" s="2"/>
      <c r="C1" s="2"/>
      <c r="D1" s="2"/>
      <c r="E1" s="3"/>
    </row>
    <row r="2">
      <c r="A2" s="18" t="s">
        <v>93</v>
      </c>
      <c r="B2" s="2"/>
      <c r="C2" s="2"/>
      <c r="D2" s="2"/>
      <c r="E2" s="3"/>
    </row>
    <row r="3">
      <c r="A3" s="19" t="s">
        <v>94</v>
      </c>
      <c r="B3" s="19" t="s">
        <v>95</v>
      </c>
      <c r="C3" s="19" t="s">
        <v>96</v>
      </c>
      <c r="D3" s="19" t="s">
        <v>97</v>
      </c>
      <c r="E3" s="19" t="s">
        <v>98</v>
      </c>
    </row>
    <row r="4">
      <c r="A4" s="20" t="s">
        <v>99</v>
      </c>
      <c r="B4" s="2"/>
      <c r="C4" s="2"/>
      <c r="D4" s="2"/>
      <c r="E4" s="3"/>
    </row>
    <row r="5">
      <c r="A5" s="8" t="s">
        <v>100</v>
      </c>
      <c r="B5" s="21" t="s">
        <v>101</v>
      </c>
      <c r="C5" s="21" t="s">
        <v>102</v>
      </c>
      <c r="D5" s="22" t="s">
        <v>103</v>
      </c>
      <c r="E5" s="23" t="s">
        <v>104</v>
      </c>
    </row>
    <row r="6">
      <c r="A6" s="8" t="s">
        <v>105</v>
      </c>
      <c r="B6" s="24" t="s">
        <v>106</v>
      </c>
      <c r="C6" s="24" t="s">
        <v>107</v>
      </c>
      <c r="D6" s="25" t="s">
        <v>108</v>
      </c>
      <c r="E6" s="23" t="s">
        <v>104</v>
      </c>
    </row>
    <row r="7">
      <c r="A7" s="8" t="s">
        <v>109</v>
      </c>
      <c r="B7" s="24" t="s">
        <v>110</v>
      </c>
      <c r="C7" s="24" t="s">
        <v>111</v>
      </c>
      <c r="D7" s="22" t="s">
        <v>112</v>
      </c>
      <c r="E7" s="23" t="s">
        <v>104</v>
      </c>
    </row>
    <row r="8">
      <c r="A8" s="20" t="s">
        <v>113</v>
      </c>
      <c r="B8" s="2"/>
      <c r="C8" s="2"/>
      <c r="D8" s="2"/>
      <c r="E8" s="3"/>
    </row>
    <row r="9">
      <c r="A9" s="8" t="s">
        <v>114</v>
      </c>
      <c r="B9" s="26" t="s">
        <v>10</v>
      </c>
      <c r="C9" s="26" t="s">
        <v>10</v>
      </c>
      <c r="D9" s="26" t="s">
        <v>10</v>
      </c>
      <c r="E9" s="27" t="s">
        <v>115</v>
      </c>
    </row>
    <row r="10">
      <c r="A10" s="8" t="s">
        <v>116</v>
      </c>
      <c r="B10" s="24" t="s">
        <v>117</v>
      </c>
      <c r="C10" s="25" t="s">
        <v>118</v>
      </c>
      <c r="D10" s="24" t="s">
        <v>119</v>
      </c>
      <c r="E10" s="23" t="s">
        <v>120</v>
      </c>
    </row>
    <row r="11">
      <c r="A11" s="8" t="s">
        <v>13</v>
      </c>
      <c r="B11" s="26" t="s">
        <v>121</v>
      </c>
      <c r="C11" s="26" t="s">
        <v>121</v>
      </c>
      <c r="D11" s="26" t="s">
        <v>121</v>
      </c>
      <c r="E11" s="27" t="s">
        <v>115</v>
      </c>
    </row>
    <row r="12">
      <c r="A12" s="20" t="s">
        <v>122</v>
      </c>
      <c r="B12" s="2"/>
      <c r="C12" s="2"/>
      <c r="D12" s="2"/>
      <c r="E12" s="3"/>
    </row>
    <row r="13">
      <c r="A13" s="8" t="s">
        <v>17</v>
      </c>
      <c r="B13" s="22" t="s">
        <v>123</v>
      </c>
      <c r="C13" s="24" t="s">
        <v>124</v>
      </c>
      <c r="D13" s="21" t="s">
        <v>76</v>
      </c>
      <c r="E13" s="23" t="s">
        <v>125</v>
      </c>
    </row>
    <row r="14">
      <c r="A14" s="8" t="s">
        <v>19</v>
      </c>
      <c r="B14" s="26" t="s">
        <v>126</v>
      </c>
      <c r="C14" s="26" t="s">
        <v>127</v>
      </c>
      <c r="D14" s="26" t="s">
        <v>128</v>
      </c>
      <c r="E14" s="27" t="s">
        <v>115</v>
      </c>
    </row>
    <row r="15">
      <c r="A15" s="20" t="s">
        <v>129</v>
      </c>
      <c r="B15" s="2"/>
      <c r="C15" s="2"/>
      <c r="D15" s="2"/>
      <c r="E15" s="3"/>
    </row>
    <row r="16">
      <c r="A16" s="8" t="s">
        <v>25</v>
      </c>
      <c r="B16" s="24" t="s">
        <v>130</v>
      </c>
      <c r="C16" s="25" t="s">
        <v>131</v>
      </c>
      <c r="D16" s="24" t="s">
        <v>132</v>
      </c>
      <c r="E16" s="23" t="s">
        <v>120</v>
      </c>
    </row>
    <row r="17">
      <c r="A17" s="8" t="s">
        <v>27</v>
      </c>
      <c r="B17" s="25" t="s">
        <v>133</v>
      </c>
      <c r="C17" s="24" t="s">
        <v>134</v>
      </c>
      <c r="D17" s="24" t="s">
        <v>134</v>
      </c>
      <c r="E17" s="23" t="s">
        <v>125</v>
      </c>
    </row>
    <row r="18">
      <c r="A18" s="20" t="s">
        <v>135</v>
      </c>
      <c r="B18" s="2"/>
      <c r="C18" s="2"/>
      <c r="D18" s="2"/>
      <c r="E18" s="3"/>
    </row>
    <row r="19">
      <c r="A19" s="8" t="s">
        <v>29</v>
      </c>
      <c r="B19" s="26" t="s">
        <v>30</v>
      </c>
      <c r="C19" s="26" t="s">
        <v>136</v>
      </c>
      <c r="D19" s="26" t="s">
        <v>137</v>
      </c>
      <c r="E19" s="27" t="s">
        <v>115</v>
      </c>
    </row>
    <row r="20">
      <c r="A20" s="8" t="s">
        <v>138</v>
      </c>
      <c r="B20" s="26" t="s">
        <v>139</v>
      </c>
      <c r="C20" s="26" t="s">
        <v>140</v>
      </c>
      <c r="D20" s="26" t="s">
        <v>139</v>
      </c>
      <c r="E20" s="27" t="s">
        <v>115</v>
      </c>
    </row>
    <row r="21" ht="15.75" customHeight="1">
      <c r="A21" s="20" t="s">
        <v>141</v>
      </c>
      <c r="B21" s="2"/>
      <c r="C21" s="2"/>
      <c r="D21" s="2"/>
      <c r="E21" s="3"/>
    </row>
    <row r="22" ht="15.75" customHeight="1">
      <c r="A22" s="8" t="s">
        <v>142</v>
      </c>
      <c r="B22" s="24" t="s">
        <v>143</v>
      </c>
      <c r="C22" s="24" t="s">
        <v>144</v>
      </c>
      <c r="D22" s="25" t="s">
        <v>145</v>
      </c>
      <c r="E22" s="23" t="s">
        <v>104</v>
      </c>
    </row>
    <row r="23" ht="15.75" customHeight="1">
      <c r="A23" s="8" t="s">
        <v>146</v>
      </c>
      <c r="B23" s="25" t="s">
        <v>147</v>
      </c>
      <c r="C23" s="24" t="s">
        <v>148</v>
      </c>
      <c r="D23" s="24" t="s">
        <v>149</v>
      </c>
      <c r="E23" s="23" t="s">
        <v>125</v>
      </c>
    </row>
    <row r="24" ht="15.75" customHeight="1">
      <c r="A24" s="20" t="s">
        <v>150</v>
      </c>
      <c r="B24" s="2"/>
      <c r="C24" s="2"/>
      <c r="D24" s="2"/>
      <c r="E24" s="3"/>
    </row>
    <row r="25" ht="15.75" customHeight="1">
      <c r="A25" s="8" t="s">
        <v>151</v>
      </c>
      <c r="B25" s="25" t="s">
        <v>152</v>
      </c>
      <c r="C25" s="24" t="s">
        <v>153</v>
      </c>
      <c r="D25" s="24" t="s">
        <v>153</v>
      </c>
      <c r="E25" s="23" t="s">
        <v>125</v>
      </c>
    </row>
    <row r="26" ht="15.75" customHeight="1">
      <c r="A26" s="8" t="s">
        <v>154</v>
      </c>
      <c r="B26" s="24" t="s">
        <v>155</v>
      </c>
      <c r="C26" s="25" t="s">
        <v>156</v>
      </c>
      <c r="D26" s="24" t="s">
        <v>157</v>
      </c>
      <c r="E26" s="23" t="s">
        <v>120</v>
      </c>
    </row>
    <row r="27" ht="15.75" customHeight="1">
      <c r="A27" s="7" t="s">
        <v>158</v>
      </c>
      <c r="B27" s="2"/>
      <c r="C27" s="2"/>
      <c r="D27" s="2"/>
      <c r="E27" s="3"/>
    </row>
    <row r="28" ht="15.75" customHeight="1">
      <c r="A28" s="28" t="s">
        <v>159</v>
      </c>
      <c r="B28" s="29" t="s">
        <v>95</v>
      </c>
      <c r="C28" s="29" t="s">
        <v>96</v>
      </c>
      <c r="D28" s="30" t="s">
        <v>97</v>
      </c>
      <c r="E28" s="3"/>
    </row>
    <row r="29" ht="15.75" customHeight="1">
      <c r="A29" s="28" t="s">
        <v>160</v>
      </c>
      <c r="B29" s="31">
        <f>COUNTIF($E$4:$E$26,"*AWS*")</f>
        <v>4</v>
      </c>
      <c r="C29" s="31">
        <f>COUNTIF($E$4:$E$26,"*Azure*")</f>
        <v>3</v>
      </c>
      <c r="D29" s="32">
        <f>COUNTIF($E$4:$E$26,"*GCP*")</f>
        <v>4</v>
      </c>
      <c r="E29" s="3"/>
    </row>
    <row r="30" ht="15.75" customHeight="1">
      <c r="A30" s="28" t="s">
        <v>161</v>
      </c>
      <c r="B30" s="30">
        <f>COUNTIF($E$4:$E$26,"*Empate*")</f>
        <v>5</v>
      </c>
      <c r="C30" s="2"/>
      <c r="D30" s="2"/>
      <c r="E30" s="3"/>
    </row>
    <row r="31" ht="15.75" customHeight="1">
      <c r="A31" s="28" t="s">
        <v>162</v>
      </c>
      <c r="B31" s="30">
        <f>SUM(B29:E30)</f>
        <v>16</v>
      </c>
      <c r="C31" s="2"/>
      <c r="D31" s="2"/>
      <c r="E31" s="3"/>
    </row>
    <row r="32" ht="15.75" customHeight="1">
      <c r="A32" s="33" t="s">
        <v>163</v>
      </c>
      <c r="B32" s="2"/>
      <c r="C32" s="2"/>
      <c r="D32" s="2"/>
      <c r="E32" s="3"/>
    </row>
    <row r="33" ht="15.75" customHeight="1">
      <c r="A33" s="34" t="s">
        <v>164</v>
      </c>
      <c r="B33" s="2"/>
      <c r="C33" s="2"/>
      <c r="D33" s="2"/>
      <c r="E33" s="3"/>
    </row>
    <row r="34" ht="241.5" customHeight="1">
      <c r="A34" s="35" t="s">
        <v>165</v>
      </c>
      <c r="B34" s="2"/>
      <c r="C34" s="2"/>
      <c r="D34" s="2"/>
      <c r="E34" s="3"/>
    </row>
    <row r="35" ht="23.25" customHeight="1">
      <c r="A35" s="16" t="s">
        <v>166</v>
      </c>
      <c r="B35" s="2"/>
      <c r="C35" s="2"/>
      <c r="D35" s="2"/>
      <c r="E35" s="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E1"/>
    <mergeCell ref="A2:E2"/>
    <mergeCell ref="A4:E4"/>
    <mergeCell ref="A8:E8"/>
    <mergeCell ref="A12:E12"/>
    <mergeCell ref="A15:E15"/>
    <mergeCell ref="A18:E18"/>
    <mergeCell ref="A32:E32"/>
    <mergeCell ref="A33:E33"/>
    <mergeCell ref="A34:E34"/>
    <mergeCell ref="A35:E35"/>
    <mergeCell ref="A21:E21"/>
    <mergeCell ref="A24:E24"/>
    <mergeCell ref="A27:E27"/>
    <mergeCell ref="D28:E28"/>
    <mergeCell ref="D29:E29"/>
    <mergeCell ref="B30:E30"/>
    <mergeCell ref="B31:E31"/>
  </mergeCells>
  <printOptions/>
  <pageMargins bottom="0.12" footer="0.0" header="0.0" left="0.75" right="0.75" top="0.34"/>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22.0"/>
    <col customWidth="1" min="2" max="2" width="28.0"/>
    <col customWidth="1" min="3" max="3" width="22.0"/>
    <col customWidth="1" min="4" max="4" width="28.0"/>
    <col customWidth="1" min="5" max="26" width="8.71"/>
  </cols>
  <sheetData>
    <row r="1" ht="9.75" customHeight="1">
      <c r="A1" s="36"/>
      <c r="B1" s="36"/>
      <c r="C1" s="36"/>
      <c r="D1" s="36"/>
    </row>
    <row r="2" ht="27.75" customHeight="1">
      <c r="A2" s="37" t="s">
        <v>167</v>
      </c>
      <c r="B2" s="38"/>
      <c r="C2" s="38"/>
      <c r="D2" s="39"/>
    </row>
    <row r="3" ht="21.75" customHeight="1">
      <c r="A3" s="40" t="s">
        <v>168</v>
      </c>
      <c r="B3" s="38"/>
      <c r="C3" s="38"/>
      <c r="D3" s="39"/>
    </row>
    <row r="4" ht="6.0" customHeight="1">
      <c r="A4" s="41"/>
      <c r="B4" s="41"/>
      <c r="C4" s="41"/>
      <c r="D4" s="41"/>
    </row>
    <row r="5" ht="49.5" customHeight="1">
      <c r="A5" s="42" t="s">
        <v>169</v>
      </c>
      <c r="B5" s="43"/>
      <c r="C5" s="44" t="s">
        <v>170</v>
      </c>
      <c r="D5" s="39"/>
    </row>
    <row r="6" ht="49.5" customHeight="1">
      <c r="A6" s="45"/>
      <c r="B6" s="46"/>
      <c r="C6" s="47" t="s">
        <v>171</v>
      </c>
      <c r="D6" s="39"/>
    </row>
    <row r="7" ht="6.0" customHeight="1">
      <c r="A7" s="41"/>
      <c r="B7" s="41"/>
      <c r="C7" s="41"/>
      <c r="D7" s="41"/>
    </row>
    <row r="8" ht="15.75" customHeight="1">
      <c r="A8" s="48" t="s">
        <v>172</v>
      </c>
      <c r="B8" s="38"/>
      <c r="C8" s="38"/>
      <c r="D8" s="39"/>
    </row>
    <row r="9" ht="19.5" customHeight="1">
      <c r="A9" s="49" t="s">
        <v>4</v>
      </c>
      <c r="B9" s="38"/>
      <c r="C9" s="38"/>
      <c r="D9" s="39"/>
    </row>
    <row r="10" ht="21.75" customHeight="1">
      <c r="A10" s="50" t="s">
        <v>5</v>
      </c>
      <c r="B10" s="51" t="s">
        <v>173</v>
      </c>
      <c r="C10" s="50" t="s">
        <v>7</v>
      </c>
      <c r="D10" s="51" t="s">
        <v>174</v>
      </c>
    </row>
    <row r="11" ht="21.75" customHeight="1">
      <c r="A11" s="52" t="s">
        <v>114</v>
      </c>
      <c r="B11" s="53" t="s">
        <v>175</v>
      </c>
      <c r="C11" s="52" t="s">
        <v>11</v>
      </c>
      <c r="D11" s="53" t="s">
        <v>176</v>
      </c>
    </row>
    <row r="12" ht="21.75" customHeight="1">
      <c r="A12" s="50" t="s">
        <v>13</v>
      </c>
      <c r="B12" s="51" t="s">
        <v>177</v>
      </c>
      <c r="C12" s="50" t="s">
        <v>15</v>
      </c>
      <c r="D12" s="51" t="s">
        <v>178</v>
      </c>
    </row>
    <row r="13" ht="21.75" customHeight="1">
      <c r="A13" s="52" t="s">
        <v>179</v>
      </c>
      <c r="B13" s="53" t="s">
        <v>180</v>
      </c>
      <c r="C13" s="52" t="s">
        <v>19</v>
      </c>
      <c r="D13" s="53" t="s">
        <v>181</v>
      </c>
    </row>
    <row r="14" ht="21.75" customHeight="1">
      <c r="A14" s="50" t="s">
        <v>182</v>
      </c>
      <c r="B14" s="51" t="s">
        <v>183</v>
      </c>
      <c r="C14" s="50" t="s">
        <v>184</v>
      </c>
      <c r="D14" s="51" t="s">
        <v>185</v>
      </c>
    </row>
    <row r="15" ht="21.75" customHeight="1">
      <c r="A15" s="52" t="s">
        <v>23</v>
      </c>
      <c r="B15" s="53" t="s">
        <v>186</v>
      </c>
      <c r="C15" s="52" t="s">
        <v>187</v>
      </c>
      <c r="D15" s="53" t="s">
        <v>188</v>
      </c>
    </row>
    <row r="16" ht="21.75" customHeight="1">
      <c r="A16" s="50" t="s">
        <v>25</v>
      </c>
      <c r="B16" s="51" t="s">
        <v>189</v>
      </c>
      <c r="C16" s="50" t="s">
        <v>190</v>
      </c>
      <c r="D16" s="51" t="s">
        <v>191</v>
      </c>
    </row>
    <row r="17" ht="21.75" customHeight="1">
      <c r="A17" s="52" t="s">
        <v>29</v>
      </c>
      <c r="B17" s="53" t="s">
        <v>192</v>
      </c>
      <c r="C17" s="52" t="s">
        <v>31</v>
      </c>
      <c r="D17" s="53" t="s">
        <v>193</v>
      </c>
    </row>
    <row r="18" ht="21.75" customHeight="1">
      <c r="A18" s="50" t="s">
        <v>194</v>
      </c>
      <c r="B18" s="51" t="s">
        <v>195</v>
      </c>
      <c r="C18" s="50" t="s">
        <v>196</v>
      </c>
      <c r="D18" s="51" t="s">
        <v>197</v>
      </c>
    </row>
    <row r="19" ht="21.75" customHeight="1">
      <c r="A19" s="52" t="s">
        <v>41</v>
      </c>
      <c r="B19" s="53" t="s">
        <v>198</v>
      </c>
      <c r="C19" s="52" t="s">
        <v>199</v>
      </c>
      <c r="D19" s="53" t="s">
        <v>200</v>
      </c>
    </row>
    <row r="21" ht="19.5" customHeight="1">
      <c r="A21" s="49" t="s">
        <v>45</v>
      </c>
      <c r="B21" s="38"/>
      <c r="C21" s="38"/>
      <c r="D21" s="39"/>
    </row>
    <row r="22" ht="60.0" customHeight="1">
      <c r="A22" s="54" t="s">
        <v>201</v>
      </c>
      <c r="B22" s="55"/>
      <c r="C22" s="55"/>
      <c r="D22" s="56"/>
    </row>
    <row r="23" ht="19.5" customHeight="1">
      <c r="A23" s="49" t="s">
        <v>47</v>
      </c>
      <c r="B23" s="38"/>
      <c r="C23" s="38"/>
      <c r="D23" s="39"/>
    </row>
    <row r="24" ht="54.75" customHeight="1">
      <c r="A24" s="57" t="s">
        <v>202</v>
      </c>
      <c r="B24" s="55"/>
      <c r="C24" s="55"/>
      <c r="D24" s="56"/>
    </row>
    <row r="25" ht="6.0" customHeight="1">
      <c r="A25" s="41"/>
      <c r="B25" s="41"/>
      <c r="C25" s="41"/>
      <c r="D25" s="41"/>
    </row>
    <row r="26" ht="18.0" customHeight="1">
      <c r="A26" s="58" t="s">
        <v>203</v>
      </c>
      <c r="B26" s="59"/>
      <c r="C26" s="60" t="s">
        <v>204</v>
      </c>
      <c r="D26" s="60" t="s">
        <v>205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D21"/>
    <mergeCell ref="A22:D22"/>
    <mergeCell ref="A23:D23"/>
    <mergeCell ref="A24:D24"/>
    <mergeCell ref="A26:B26"/>
    <mergeCell ref="A2:D2"/>
    <mergeCell ref="A3:D3"/>
    <mergeCell ref="A5:B6"/>
    <mergeCell ref="C5:D5"/>
    <mergeCell ref="C6:D6"/>
    <mergeCell ref="A8:D8"/>
    <mergeCell ref="A9:D9"/>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22.0"/>
    <col customWidth="1" min="2" max="2" width="28.0"/>
    <col customWidth="1" min="3" max="3" width="22.0"/>
    <col customWidth="1" min="4" max="4" width="28.0"/>
    <col customWidth="1" min="5" max="26" width="8.71"/>
  </cols>
  <sheetData>
    <row r="1" ht="9.75" customHeight="1">
      <c r="A1" s="61"/>
      <c r="B1" s="61"/>
      <c r="C1" s="61"/>
      <c r="D1" s="61"/>
    </row>
    <row r="2" ht="27.75" customHeight="1">
      <c r="A2" s="62" t="s">
        <v>167</v>
      </c>
      <c r="B2" s="38"/>
      <c r="C2" s="38"/>
      <c r="D2" s="39"/>
    </row>
    <row r="3" ht="21.75" customHeight="1">
      <c r="A3" s="63" t="s">
        <v>206</v>
      </c>
      <c r="B3" s="38"/>
      <c r="C3" s="38"/>
      <c r="D3" s="39"/>
    </row>
    <row r="4" ht="6.0" customHeight="1">
      <c r="A4" s="64"/>
      <c r="B4" s="64"/>
      <c r="C4" s="64"/>
      <c r="D4" s="64"/>
    </row>
    <row r="5" ht="49.5" customHeight="1">
      <c r="A5" s="65" t="s">
        <v>207</v>
      </c>
      <c r="B5" s="43"/>
      <c r="C5" s="66" t="s">
        <v>170</v>
      </c>
      <c r="D5" s="39"/>
    </row>
    <row r="6" ht="49.5" customHeight="1">
      <c r="A6" s="45"/>
      <c r="B6" s="46"/>
      <c r="C6" s="67" t="s">
        <v>208</v>
      </c>
      <c r="D6" s="39"/>
    </row>
    <row r="7" ht="6.0" customHeight="1">
      <c r="A7" s="64"/>
      <c r="B7" s="64"/>
      <c r="C7" s="64"/>
      <c r="D7" s="64"/>
    </row>
    <row r="8" ht="15.75" customHeight="1">
      <c r="A8" s="48" t="s">
        <v>209</v>
      </c>
      <c r="B8" s="38"/>
      <c r="C8" s="38"/>
      <c r="D8" s="39"/>
    </row>
    <row r="9" ht="19.5" customHeight="1">
      <c r="A9" s="68" t="s">
        <v>4</v>
      </c>
      <c r="B9" s="38"/>
      <c r="C9" s="38"/>
      <c r="D9" s="39"/>
    </row>
    <row r="10" ht="21.75" customHeight="1">
      <c r="A10" s="69" t="s">
        <v>5</v>
      </c>
      <c r="B10" s="70" t="s">
        <v>210</v>
      </c>
      <c r="C10" s="69" t="s">
        <v>7</v>
      </c>
      <c r="D10" s="70" t="s">
        <v>211</v>
      </c>
    </row>
    <row r="11" ht="21.75" customHeight="1">
      <c r="A11" s="52" t="s">
        <v>114</v>
      </c>
      <c r="B11" s="53" t="s">
        <v>212</v>
      </c>
      <c r="C11" s="52" t="s">
        <v>11</v>
      </c>
      <c r="D11" s="53" t="s">
        <v>213</v>
      </c>
    </row>
    <row r="12" ht="21.75" customHeight="1">
      <c r="A12" s="69" t="s">
        <v>13</v>
      </c>
      <c r="B12" s="70" t="s">
        <v>214</v>
      </c>
      <c r="C12" s="69" t="s">
        <v>15</v>
      </c>
      <c r="D12" s="70" t="s">
        <v>215</v>
      </c>
    </row>
    <row r="13" ht="21.75" customHeight="1">
      <c r="A13" s="52" t="s">
        <v>179</v>
      </c>
      <c r="B13" s="53" t="s">
        <v>216</v>
      </c>
      <c r="C13" s="52" t="s">
        <v>19</v>
      </c>
      <c r="D13" s="53" t="s">
        <v>217</v>
      </c>
    </row>
    <row r="14" ht="21.75" customHeight="1">
      <c r="A14" s="69" t="s">
        <v>218</v>
      </c>
      <c r="B14" s="70" t="s">
        <v>219</v>
      </c>
      <c r="C14" s="69" t="s">
        <v>220</v>
      </c>
      <c r="D14" s="70" t="s">
        <v>221</v>
      </c>
    </row>
    <row r="15" ht="21.75" customHeight="1">
      <c r="A15" s="52" t="s">
        <v>222</v>
      </c>
      <c r="B15" s="53" t="s">
        <v>223</v>
      </c>
      <c r="C15" s="52" t="s">
        <v>224</v>
      </c>
      <c r="D15" s="53" t="s">
        <v>225</v>
      </c>
    </row>
    <row r="16" ht="21.75" customHeight="1">
      <c r="A16" s="69" t="s">
        <v>25</v>
      </c>
      <c r="B16" s="70" t="s">
        <v>226</v>
      </c>
      <c r="C16" s="69" t="s">
        <v>190</v>
      </c>
      <c r="D16" s="70" t="s">
        <v>191</v>
      </c>
    </row>
    <row r="17" ht="21.75" customHeight="1">
      <c r="A17" s="52" t="s">
        <v>29</v>
      </c>
      <c r="B17" s="53" t="s">
        <v>227</v>
      </c>
      <c r="C17" s="52" t="s">
        <v>31</v>
      </c>
      <c r="D17" s="53" t="s">
        <v>228</v>
      </c>
    </row>
    <row r="18" ht="21.75" customHeight="1">
      <c r="A18" s="69" t="s">
        <v>35</v>
      </c>
      <c r="B18" s="70" t="s">
        <v>229</v>
      </c>
      <c r="C18" s="69" t="s">
        <v>39</v>
      </c>
      <c r="D18" s="70" t="s">
        <v>230</v>
      </c>
    </row>
    <row r="19" ht="21.75" customHeight="1">
      <c r="A19" s="52" t="s">
        <v>41</v>
      </c>
      <c r="B19" s="53" t="s">
        <v>231</v>
      </c>
      <c r="C19" s="52" t="s">
        <v>199</v>
      </c>
      <c r="D19" s="53" t="s">
        <v>232</v>
      </c>
    </row>
    <row r="21" ht="19.5" customHeight="1">
      <c r="A21" s="68" t="s">
        <v>45</v>
      </c>
      <c r="B21" s="38"/>
      <c r="C21" s="38"/>
      <c r="D21" s="39"/>
    </row>
    <row r="22" ht="60.0" customHeight="1">
      <c r="A22" s="54" t="s">
        <v>233</v>
      </c>
      <c r="B22" s="55"/>
      <c r="C22" s="55"/>
      <c r="D22" s="56"/>
    </row>
    <row r="23" ht="19.5" customHeight="1">
      <c r="A23" s="68" t="s">
        <v>47</v>
      </c>
      <c r="B23" s="38"/>
      <c r="C23" s="38"/>
      <c r="D23" s="39"/>
    </row>
    <row r="24" ht="54.75" customHeight="1">
      <c r="A24" s="71" t="s">
        <v>234</v>
      </c>
      <c r="B24" s="55"/>
      <c r="C24" s="55"/>
      <c r="D24" s="56"/>
    </row>
    <row r="25" ht="6.0" customHeight="1">
      <c r="A25" s="64"/>
      <c r="B25" s="64"/>
      <c r="C25" s="64"/>
      <c r="D25" s="64"/>
    </row>
    <row r="26" ht="18.0" customHeight="1">
      <c r="A26" s="72" t="s">
        <v>203</v>
      </c>
      <c r="B26" s="73"/>
      <c r="C26" s="74" t="s">
        <v>204</v>
      </c>
      <c r="D26" s="74" t="s">
        <v>205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D21"/>
    <mergeCell ref="A22:D22"/>
    <mergeCell ref="A23:D23"/>
    <mergeCell ref="A24:D24"/>
    <mergeCell ref="A26:B26"/>
    <mergeCell ref="A2:D2"/>
    <mergeCell ref="A3:D3"/>
    <mergeCell ref="A5:B6"/>
    <mergeCell ref="C5:D5"/>
    <mergeCell ref="C6:D6"/>
    <mergeCell ref="A8:D8"/>
    <mergeCell ref="A9:D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22.0"/>
    <col customWidth="1" min="2" max="2" width="28.0"/>
    <col customWidth="1" min="3" max="3" width="22.0"/>
    <col customWidth="1" min="4" max="4" width="28.0"/>
    <col customWidth="1" min="5" max="26" width="8.71"/>
  </cols>
  <sheetData>
    <row r="1" ht="9.75" customHeight="1">
      <c r="A1" s="75"/>
      <c r="B1" s="75"/>
      <c r="C1" s="75"/>
      <c r="D1" s="75"/>
    </row>
    <row r="2" ht="27.75" customHeight="1">
      <c r="A2" s="76" t="s">
        <v>167</v>
      </c>
      <c r="B2" s="38"/>
      <c r="C2" s="38"/>
      <c r="D2" s="39"/>
    </row>
    <row r="3" ht="21.75" customHeight="1">
      <c r="A3" s="77" t="s">
        <v>235</v>
      </c>
      <c r="B3" s="38"/>
      <c r="C3" s="38"/>
      <c r="D3" s="39"/>
    </row>
    <row r="4" ht="6.0" customHeight="1">
      <c r="A4" s="78"/>
      <c r="B4" s="78"/>
      <c r="C4" s="78"/>
      <c r="D4" s="78"/>
    </row>
    <row r="5" ht="49.5" customHeight="1">
      <c r="A5" s="79" t="s">
        <v>236</v>
      </c>
      <c r="B5" s="43"/>
      <c r="C5" s="80" t="s">
        <v>170</v>
      </c>
      <c r="D5" s="39"/>
    </row>
    <row r="6" ht="49.5" customHeight="1">
      <c r="A6" s="45"/>
      <c r="B6" s="46"/>
      <c r="C6" s="81" t="s">
        <v>237</v>
      </c>
      <c r="D6" s="39"/>
    </row>
    <row r="7" ht="6.0" customHeight="1">
      <c r="A7" s="78"/>
      <c r="B7" s="78"/>
      <c r="C7" s="78"/>
      <c r="D7" s="78"/>
    </row>
    <row r="8" ht="15.75" customHeight="1">
      <c r="A8" s="48" t="s">
        <v>238</v>
      </c>
      <c r="B8" s="38"/>
      <c r="C8" s="38"/>
      <c r="D8" s="39"/>
    </row>
    <row r="9" ht="19.5" customHeight="1">
      <c r="A9" s="82" t="s">
        <v>4</v>
      </c>
      <c r="B9" s="38"/>
      <c r="C9" s="38"/>
      <c r="D9" s="39"/>
    </row>
    <row r="10" ht="21.75" customHeight="1">
      <c r="A10" s="83" t="s">
        <v>5</v>
      </c>
      <c r="B10" s="84" t="s">
        <v>239</v>
      </c>
      <c r="C10" s="83" t="s">
        <v>7</v>
      </c>
      <c r="D10" s="84" t="s">
        <v>240</v>
      </c>
    </row>
    <row r="11" ht="21.75" customHeight="1">
      <c r="A11" s="52" t="s">
        <v>179</v>
      </c>
      <c r="B11" s="53" t="s">
        <v>241</v>
      </c>
      <c r="C11" s="52" t="s">
        <v>242</v>
      </c>
      <c r="D11" s="53" t="s">
        <v>243</v>
      </c>
    </row>
    <row r="12" ht="21.75" customHeight="1">
      <c r="A12" s="83" t="s">
        <v>244</v>
      </c>
      <c r="B12" s="84" t="s">
        <v>245</v>
      </c>
      <c r="C12" s="83" t="s">
        <v>246</v>
      </c>
      <c r="D12" s="84" t="s">
        <v>247</v>
      </c>
    </row>
    <row r="13" ht="21.75" customHeight="1">
      <c r="A13" s="52" t="s">
        <v>248</v>
      </c>
      <c r="B13" s="53" t="s">
        <v>249</v>
      </c>
      <c r="C13" s="52" t="s">
        <v>250</v>
      </c>
      <c r="D13" s="53" t="s">
        <v>251</v>
      </c>
    </row>
    <row r="14" ht="21.75" customHeight="1">
      <c r="A14" s="83" t="s">
        <v>252</v>
      </c>
      <c r="B14" s="84" t="s">
        <v>253</v>
      </c>
      <c r="C14" s="83" t="s">
        <v>254</v>
      </c>
      <c r="D14" s="84" t="s">
        <v>255</v>
      </c>
    </row>
    <row r="15" ht="21.75" customHeight="1">
      <c r="A15" s="52" t="s">
        <v>256</v>
      </c>
      <c r="B15" s="53" t="s">
        <v>257</v>
      </c>
      <c r="C15" s="52" t="s">
        <v>258</v>
      </c>
      <c r="D15" s="53" t="s">
        <v>259</v>
      </c>
    </row>
    <row r="16" ht="21.75" customHeight="1">
      <c r="A16" s="83" t="s">
        <v>25</v>
      </c>
      <c r="B16" s="84" t="s">
        <v>260</v>
      </c>
      <c r="C16" s="83" t="s">
        <v>190</v>
      </c>
      <c r="D16" s="84" t="s">
        <v>261</v>
      </c>
    </row>
    <row r="17" ht="21.75" customHeight="1">
      <c r="A17" s="52" t="s">
        <v>262</v>
      </c>
      <c r="B17" s="53" t="s">
        <v>263</v>
      </c>
      <c r="C17" s="52" t="s">
        <v>264</v>
      </c>
      <c r="D17" s="53" t="s">
        <v>185</v>
      </c>
    </row>
    <row r="18" ht="21.75" customHeight="1">
      <c r="A18" s="83" t="s">
        <v>265</v>
      </c>
      <c r="B18" s="84" t="s">
        <v>266</v>
      </c>
      <c r="C18" s="83" t="s">
        <v>267</v>
      </c>
      <c r="D18" s="84" t="s">
        <v>268</v>
      </c>
    </row>
    <row r="19" ht="21.75" customHeight="1">
      <c r="A19" s="52" t="s">
        <v>41</v>
      </c>
      <c r="B19" s="53" t="s">
        <v>269</v>
      </c>
      <c r="C19" s="52" t="s">
        <v>270</v>
      </c>
      <c r="D19" s="53" t="s">
        <v>271</v>
      </c>
    </row>
    <row r="21" ht="19.5" customHeight="1">
      <c r="A21" s="82" t="s">
        <v>45</v>
      </c>
      <c r="B21" s="38"/>
      <c r="C21" s="38"/>
      <c r="D21" s="39"/>
    </row>
    <row r="22" ht="60.0" customHeight="1">
      <c r="A22" s="54" t="s">
        <v>272</v>
      </c>
      <c r="B22" s="55"/>
      <c r="C22" s="55"/>
      <c r="D22" s="56"/>
    </row>
    <row r="23" ht="19.5" customHeight="1">
      <c r="A23" s="82" t="s">
        <v>47</v>
      </c>
      <c r="B23" s="38"/>
      <c r="C23" s="38"/>
      <c r="D23" s="39"/>
    </row>
    <row r="24" ht="54.75" customHeight="1">
      <c r="A24" s="85" t="s">
        <v>273</v>
      </c>
      <c r="B24" s="55"/>
      <c r="C24" s="55"/>
      <c r="D24" s="56"/>
    </row>
    <row r="25" ht="6.0" customHeight="1">
      <c r="A25" s="78"/>
      <c r="B25" s="78"/>
      <c r="C25" s="78"/>
      <c r="D25" s="78"/>
    </row>
    <row r="26" ht="18.0" customHeight="1">
      <c r="A26" s="86" t="s">
        <v>203</v>
      </c>
      <c r="B26" s="87"/>
      <c r="C26" s="88" t="s">
        <v>204</v>
      </c>
      <c r="D26" s="88" t="s">
        <v>205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D21"/>
    <mergeCell ref="A22:D22"/>
    <mergeCell ref="A23:D23"/>
    <mergeCell ref="A24:D24"/>
    <mergeCell ref="A26:B26"/>
    <mergeCell ref="A2:D2"/>
    <mergeCell ref="A3:D3"/>
    <mergeCell ref="A5:B6"/>
    <mergeCell ref="C5:D5"/>
    <mergeCell ref="C6:D6"/>
    <mergeCell ref="A8:D8"/>
    <mergeCell ref="A9:D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28.0"/>
    <col customWidth="1" min="3" max="3" width="22.0"/>
    <col customWidth="1" min="4" max="6" width="18.0"/>
    <col customWidth="1" min="7" max="26" width="8.71"/>
  </cols>
  <sheetData>
    <row r="1" ht="7.5" customHeight="1">
      <c r="A1" s="89"/>
      <c r="B1" s="89"/>
      <c r="C1" s="89"/>
      <c r="D1" s="89"/>
      <c r="E1" s="89"/>
      <c r="F1" s="89"/>
    </row>
    <row r="2" ht="34.5" customHeight="1">
      <c r="A2" s="90" t="s">
        <v>274</v>
      </c>
      <c r="B2" s="38"/>
      <c r="C2" s="38"/>
      <c r="D2" s="38"/>
      <c r="E2" s="38"/>
      <c r="F2" s="39"/>
    </row>
    <row r="3" ht="18.0" customHeight="1">
      <c r="A3" s="91" t="s">
        <v>275</v>
      </c>
      <c r="B3" s="38"/>
      <c r="C3" s="38"/>
      <c r="D3" s="38"/>
      <c r="E3" s="38"/>
      <c r="F3" s="39"/>
    </row>
    <row r="4" ht="4.5" customHeight="1">
      <c r="A4" s="92"/>
      <c r="B4" s="92"/>
      <c r="C4" s="92"/>
      <c r="D4" s="92"/>
      <c r="E4" s="92"/>
      <c r="F4" s="92"/>
    </row>
    <row r="5" ht="21.75" customHeight="1">
      <c r="A5" s="93" t="s">
        <v>276</v>
      </c>
      <c r="B5" s="93" t="s">
        <v>277</v>
      </c>
      <c r="C5" s="93" t="s">
        <v>278</v>
      </c>
      <c r="D5" s="93" t="s">
        <v>279</v>
      </c>
      <c r="E5" s="93" t="s">
        <v>280</v>
      </c>
      <c r="F5" s="93" t="s">
        <v>281</v>
      </c>
    </row>
    <row r="6" ht="30.0" customHeight="1">
      <c r="A6" s="94" t="s">
        <v>282</v>
      </c>
      <c r="B6" s="95" t="s">
        <v>283</v>
      </c>
      <c r="C6" s="96" t="s">
        <v>284</v>
      </c>
      <c r="D6" s="97" t="s">
        <v>285</v>
      </c>
      <c r="E6" s="97" t="s">
        <v>286</v>
      </c>
      <c r="F6" s="96" t="s">
        <v>192</v>
      </c>
    </row>
    <row r="7" ht="30.0" customHeight="1">
      <c r="A7" s="98" t="s">
        <v>287</v>
      </c>
      <c r="B7" s="99" t="s">
        <v>288</v>
      </c>
      <c r="C7" s="100" t="s">
        <v>289</v>
      </c>
      <c r="D7" s="101" t="s">
        <v>290</v>
      </c>
      <c r="E7" s="101" t="s">
        <v>291</v>
      </c>
      <c r="F7" s="100" t="s">
        <v>292</v>
      </c>
    </row>
    <row r="8" ht="30.0" customHeight="1">
      <c r="A8" s="102" t="s">
        <v>293</v>
      </c>
      <c r="B8" s="103" t="s">
        <v>294</v>
      </c>
      <c r="C8" s="104" t="s">
        <v>295</v>
      </c>
      <c r="D8" s="105" t="s">
        <v>296</v>
      </c>
      <c r="E8" s="105" t="s">
        <v>297</v>
      </c>
      <c r="F8" s="104" t="s">
        <v>292</v>
      </c>
    </row>
    <row r="9" ht="21.75" customHeight="1">
      <c r="A9" s="106" t="s">
        <v>298</v>
      </c>
      <c r="B9" s="38"/>
      <c r="C9" s="39"/>
      <c r="D9" s="107" t="s">
        <v>299</v>
      </c>
      <c r="E9" s="107" t="s">
        <v>300</v>
      </c>
      <c r="F9" s="107"/>
    </row>
    <row r="10" ht="21.75" customHeight="1">
      <c r="A10" s="108" t="s">
        <v>301</v>
      </c>
      <c r="B10" s="38"/>
      <c r="C10" s="39"/>
      <c r="D10" s="109" t="s">
        <v>302</v>
      </c>
      <c r="E10" s="109" t="s">
        <v>303</v>
      </c>
      <c r="F10" s="109"/>
    </row>
    <row r="11" ht="25.5" customHeight="1">
      <c r="A11" s="110" t="s">
        <v>304</v>
      </c>
      <c r="B11" s="111"/>
      <c r="C11" s="112"/>
      <c r="D11" s="113" t="s">
        <v>305</v>
      </c>
      <c r="E11" s="113" t="s">
        <v>306</v>
      </c>
      <c r="F11" s="114"/>
    </row>
    <row r="12" ht="7.5" customHeight="1">
      <c r="A12" s="92"/>
      <c r="B12" s="92"/>
      <c r="C12" s="92"/>
      <c r="D12" s="92"/>
      <c r="E12" s="92"/>
      <c r="F12" s="92"/>
    </row>
    <row r="13" ht="21.75" customHeight="1">
      <c r="A13" s="115" t="s">
        <v>307</v>
      </c>
      <c r="B13" s="38"/>
      <c r="C13" s="38"/>
      <c r="D13" s="38"/>
      <c r="E13" s="38"/>
      <c r="F13" s="39"/>
    </row>
    <row r="14" ht="45.0" customHeight="1">
      <c r="A14" s="116" t="s">
        <v>308</v>
      </c>
      <c r="B14" s="38"/>
      <c r="C14" s="38"/>
      <c r="D14" s="38"/>
      <c r="E14" s="38"/>
      <c r="F14" s="39"/>
    </row>
    <row r="15" ht="45.0" customHeight="1">
      <c r="A15" s="117" t="s">
        <v>309</v>
      </c>
      <c r="B15" s="38"/>
      <c r="C15" s="38"/>
      <c r="D15" s="38"/>
      <c r="E15" s="38"/>
      <c r="F15" s="39"/>
    </row>
    <row r="16" ht="45.0" customHeight="1">
      <c r="A16" s="118" t="s">
        <v>310</v>
      </c>
      <c r="B16" s="38"/>
      <c r="C16" s="38"/>
      <c r="D16" s="38"/>
      <c r="E16" s="38"/>
      <c r="F16" s="39"/>
    </row>
    <row r="17" ht="4.5" customHeight="1">
      <c r="A17" s="92"/>
      <c r="B17" s="92"/>
      <c r="C17" s="92"/>
      <c r="D17" s="92"/>
      <c r="E17" s="92"/>
      <c r="F17" s="92"/>
    </row>
    <row r="18" ht="18.0" customHeight="1">
      <c r="A18" s="119" t="s">
        <v>311</v>
      </c>
      <c r="B18" s="38"/>
      <c r="C18" s="38"/>
      <c r="D18" s="38"/>
      <c r="E18" s="38"/>
      <c r="F18"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5:F15"/>
    <mergeCell ref="A16:F16"/>
    <mergeCell ref="A18:F18"/>
    <mergeCell ref="A2:F2"/>
    <mergeCell ref="A3:F3"/>
    <mergeCell ref="A9:C9"/>
    <mergeCell ref="A10:C10"/>
    <mergeCell ref="A11:C11"/>
    <mergeCell ref="A13:F13"/>
    <mergeCell ref="A14:F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3" width="30.0"/>
    <col customWidth="1" min="4" max="4" width="22.0"/>
    <col customWidth="1" min="5" max="5" width="30.0"/>
    <col customWidth="1" min="6" max="6" width="2.0"/>
    <col customWidth="1" min="7" max="26" width="8.71"/>
  </cols>
  <sheetData>
    <row r="1" ht="30.0" customHeight="1">
      <c r="A1" s="120"/>
      <c r="B1" s="121" t="s">
        <v>312</v>
      </c>
      <c r="C1" s="122"/>
      <c r="D1" s="122"/>
      <c r="E1" s="123"/>
      <c r="F1" s="120"/>
    </row>
    <row r="2" ht="19.5" customHeight="1">
      <c r="A2" s="120"/>
      <c r="B2" s="124" t="s">
        <v>313</v>
      </c>
      <c r="C2" s="122"/>
      <c r="D2" s="122"/>
      <c r="E2" s="123"/>
      <c r="F2" s="120"/>
    </row>
    <row r="3" ht="18.0" customHeight="1">
      <c r="A3" s="120"/>
      <c r="B3" s="125" t="s">
        <v>157</v>
      </c>
      <c r="C3" s="126"/>
      <c r="D3" s="127" t="s">
        <v>314</v>
      </c>
      <c r="E3" s="126"/>
      <c r="F3" s="120"/>
    </row>
    <row r="4" ht="18.0" customHeight="1">
      <c r="A4" s="120"/>
      <c r="B4" s="128"/>
      <c r="C4" s="129"/>
      <c r="D4" s="128"/>
      <c r="E4" s="129"/>
      <c r="F4" s="120"/>
    </row>
    <row r="5" ht="18.0" customHeight="1">
      <c r="A5" s="120"/>
      <c r="B5" s="128"/>
      <c r="C5" s="129"/>
      <c r="D5" s="130"/>
      <c r="E5" s="46"/>
      <c r="F5" s="120"/>
    </row>
    <row r="6" ht="18.0" customHeight="1">
      <c r="A6" s="120"/>
      <c r="B6" s="128"/>
      <c r="C6" s="129"/>
      <c r="D6" s="131" t="s">
        <v>315</v>
      </c>
      <c r="E6" s="126"/>
      <c r="F6" s="120"/>
    </row>
    <row r="7" ht="18.0" customHeight="1">
      <c r="A7" s="120"/>
      <c r="B7" s="130"/>
      <c r="C7" s="46"/>
      <c r="D7" s="130"/>
      <c r="E7" s="46"/>
      <c r="F7" s="120"/>
    </row>
    <row r="8" ht="21.75" customHeight="1">
      <c r="A8" s="120"/>
      <c r="B8" s="132" t="s">
        <v>4</v>
      </c>
      <c r="C8" s="122"/>
      <c r="D8" s="122"/>
      <c r="E8" s="123"/>
      <c r="F8" s="120"/>
    </row>
    <row r="9" ht="18.0" customHeight="1">
      <c r="A9" s="120"/>
      <c r="B9" s="133" t="s">
        <v>316</v>
      </c>
      <c r="C9" s="133" t="s">
        <v>317</v>
      </c>
      <c r="D9" s="133" t="s">
        <v>316</v>
      </c>
      <c r="E9" s="133" t="s">
        <v>317</v>
      </c>
      <c r="F9" s="120"/>
    </row>
    <row r="10" ht="21.75" customHeight="1">
      <c r="A10" s="120"/>
      <c r="B10" s="134" t="s">
        <v>5</v>
      </c>
      <c r="C10" s="135" t="s">
        <v>318</v>
      </c>
      <c r="D10" s="134" t="s">
        <v>7</v>
      </c>
      <c r="E10" s="135" t="s">
        <v>319</v>
      </c>
      <c r="F10" s="120"/>
    </row>
    <row r="11" ht="21.75" customHeight="1">
      <c r="A11" s="120"/>
      <c r="B11" s="136" t="s">
        <v>179</v>
      </c>
      <c r="C11" s="137" t="s">
        <v>320</v>
      </c>
      <c r="D11" s="136" t="s">
        <v>321</v>
      </c>
      <c r="E11" s="137" t="s">
        <v>322</v>
      </c>
      <c r="F11" s="120"/>
    </row>
    <row r="12" ht="21.75" customHeight="1">
      <c r="A12" s="120"/>
      <c r="B12" s="134" t="s">
        <v>323</v>
      </c>
      <c r="C12" s="135" t="s">
        <v>324</v>
      </c>
      <c r="D12" s="134" t="s">
        <v>325</v>
      </c>
      <c r="E12" s="135" t="s">
        <v>326</v>
      </c>
      <c r="F12" s="120"/>
    </row>
    <row r="13" ht="21.75" customHeight="1">
      <c r="A13" s="120"/>
      <c r="B13" s="136" t="s">
        <v>327</v>
      </c>
      <c r="C13" s="137" t="s">
        <v>328</v>
      </c>
      <c r="D13" s="136" t="s">
        <v>329</v>
      </c>
      <c r="E13" s="137" t="s">
        <v>330</v>
      </c>
      <c r="F13" s="120"/>
    </row>
    <row r="14" ht="21.75" customHeight="1">
      <c r="A14" s="120"/>
      <c r="B14" s="134" t="s">
        <v>331</v>
      </c>
      <c r="C14" s="135" t="s">
        <v>332</v>
      </c>
      <c r="D14" s="134" t="s">
        <v>333</v>
      </c>
      <c r="E14" s="135" t="s">
        <v>334</v>
      </c>
      <c r="F14" s="120"/>
    </row>
    <row r="15" ht="21.75" customHeight="1">
      <c r="A15" s="120"/>
      <c r="B15" s="136" t="s">
        <v>335</v>
      </c>
      <c r="C15" s="137" t="s">
        <v>336</v>
      </c>
      <c r="D15" s="136" t="s">
        <v>31</v>
      </c>
      <c r="E15" s="137" t="s">
        <v>337</v>
      </c>
      <c r="F15" s="120"/>
    </row>
    <row r="16" ht="21.75" customHeight="1">
      <c r="A16" s="120"/>
      <c r="B16" s="134" t="s">
        <v>29</v>
      </c>
      <c r="C16" s="135" t="s">
        <v>227</v>
      </c>
      <c r="D16" s="134" t="s">
        <v>39</v>
      </c>
      <c r="E16" s="135" t="s">
        <v>338</v>
      </c>
      <c r="F16" s="120"/>
    </row>
    <row r="17" ht="21.75" customHeight="1">
      <c r="A17" s="120"/>
      <c r="B17" s="136" t="s">
        <v>25</v>
      </c>
      <c r="C17" s="137" t="s">
        <v>339</v>
      </c>
      <c r="D17" s="136" t="s">
        <v>27</v>
      </c>
      <c r="E17" s="137" t="s">
        <v>340</v>
      </c>
      <c r="F17" s="120"/>
    </row>
    <row r="18" ht="21.75" customHeight="1">
      <c r="A18" s="120"/>
      <c r="B18" s="134" t="s">
        <v>35</v>
      </c>
      <c r="C18" s="135" t="s">
        <v>341</v>
      </c>
      <c r="D18" s="134" t="s">
        <v>342</v>
      </c>
      <c r="E18" s="135" t="s">
        <v>343</v>
      </c>
      <c r="F18" s="120"/>
    </row>
    <row r="19" ht="21.75" customHeight="1">
      <c r="A19" s="120"/>
      <c r="B19" s="136" t="s">
        <v>37</v>
      </c>
      <c r="C19" s="137" t="s">
        <v>344</v>
      </c>
      <c r="D19" s="136" t="s">
        <v>43</v>
      </c>
      <c r="E19" s="137" t="s">
        <v>345</v>
      </c>
      <c r="F19" s="120"/>
    </row>
    <row r="20" ht="21.75" customHeight="1">
      <c r="A20" s="120"/>
      <c r="B20" s="132" t="s">
        <v>45</v>
      </c>
      <c r="C20" s="122"/>
      <c r="D20" s="122"/>
      <c r="E20" s="123"/>
      <c r="F20" s="120"/>
    </row>
    <row r="21" ht="72.0" customHeight="1">
      <c r="A21" s="120"/>
      <c r="B21" s="138" t="s">
        <v>346</v>
      </c>
      <c r="C21" s="122"/>
      <c r="D21" s="122"/>
      <c r="E21" s="123"/>
      <c r="F21" s="120"/>
    </row>
    <row r="22" ht="21.75" customHeight="1">
      <c r="A22" s="120"/>
      <c r="B22" s="132" t="s">
        <v>47</v>
      </c>
      <c r="C22" s="122"/>
      <c r="D22" s="122"/>
      <c r="E22" s="123"/>
      <c r="F22" s="120"/>
    </row>
    <row r="23" ht="60.0" customHeight="1">
      <c r="A23" s="120"/>
      <c r="B23" s="139" t="s">
        <v>347</v>
      </c>
      <c r="C23" s="122"/>
      <c r="D23" s="122"/>
      <c r="E23" s="123"/>
      <c r="F23" s="120"/>
    </row>
    <row r="24" ht="21.75" customHeight="1">
      <c r="A24" s="120"/>
      <c r="B24" s="140" t="s">
        <v>348</v>
      </c>
      <c r="C24" s="122"/>
      <c r="D24" s="122"/>
      <c r="E24" s="123"/>
      <c r="F24" s="120"/>
    </row>
    <row r="25" ht="18.0" customHeight="1">
      <c r="A25" s="120"/>
      <c r="B25" s="141" t="s">
        <v>349</v>
      </c>
      <c r="C25" s="123"/>
      <c r="D25" s="142" t="s">
        <v>350</v>
      </c>
      <c r="E25" s="123"/>
      <c r="F25" s="120"/>
    </row>
    <row r="26" ht="18.0" customHeight="1">
      <c r="A26" s="120"/>
      <c r="B26" s="143" t="s">
        <v>351</v>
      </c>
      <c r="C26" s="123"/>
      <c r="D26" s="144" t="s">
        <v>352</v>
      </c>
      <c r="E26" s="123"/>
      <c r="F26" s="120"/>
    </row>
    <row r="27" ht="18.0" customHeight="1">
      <c r="A27" s="120"/>
      <c r="B27" s="141" t="s">
        <v>353</v>
      </c>
      <c r="C27" s="123"/>
      <c r="D27" s="145" t="s">
        <v>354</v>
      </c>
      <c r="E27" s="123"/>
      <c r="F27" s="120"/>
    </row>
    <row r="28" ht="18.0" customHeight="1">
      <c r="A28" s="120"/>
      <c r="B28" s="143" t="s">
        <v>355</v>
      </c>
      <c r="C28" s="123"/>
      <c r="D28" s="146" t="s">
        <v>356</v>
      </c>
      <c r="E28" s="123"/>
      <c r="F28" s="120"/>
    </row>
    <row r="29" ht="19.5" customHeight="1">
      <c r="A29" s="120"/>
      <c r="B29" s="147" t="s">
        <v>357</v>
      </c>
      <c r="C29" s="122"/>
      <c r="D29" s="122"/>
      <c r="E29" s="123"/>
      <c r="F29" s="120"/>
    </row>
    <row r="30" ht="15.75" customHeight="1">
      <c r="A30" s="120"/>
      <c r="F30" s="120"/>
    </row>
    <row r="31" ht="15.75" customHeight="1">
      <c r="A31" s="120"/>
      <c r="F31" s="120"/>
    </row>
    <row r="32" ht="15.75" customHeight="1">
      <c r="A32" s="120"/>
      <c r="F32" s="120"/>
    </row>
    <row r="33" ht="15.75" customHeight="1">
      <c r="A33" s="120"/>
      <c r="F33" s="120"/>
    </row>
    <row r="34" ht="15.75" customHeight="1">
      <c r="A34" s="120"/>
      <c r="F34" s="120"/>
    </row>
    <row r="35" ht="15.75" customHeight="1">
      <c r="A35" s="120"/>
      <c r="F35" s="120"/>
    </row>
    <row r="36" ht="15.75" customHeight="1">
      <c r="A36" s="120"/>
      <c r="F36" s="120"/>
    </row>
    <row r="37" ht="15.75" customHeight="1">
      <c r="A37" s="120"/>
      <c r="F37" s="120"/>
    </row>
    <row r="38" ht="15.75" customHeight="1">
      <c r="A38" s="120"/>
      <c r="F38" s="120"/>
    </row>
    <row r="39" ht="15.75" customHeight="1">
      <c r="A39" s="120"/>
      <c r="F39" s="120"/>
    </row>
    <row r="40" ht="15.75" customHeight="1">
      <c r="A40" s="120"/>
      <c r="F40" s="120"/>
    </row>
    <row r="41" ht="15.75" customHeight="1">
      <c r="A41" s="120"/>
      <c r="F41" s="120"/>
    </row>
    <row r="42" ht="15.75" customHeight="1">
      <c r="A42" s="120"/>
      <c r="F42" s="120"/>
    </row>
    <row r="43" ht="15.75" customHeight="1">
      <c r="A43" s="120"/>
      <c r="F43" s="120"/>
    </row>
    <row r="44" ht="15.75" customHeight="1">
      <c r="A44" s="120"/>
      <c r="F44" s="1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E1"/>
    <mergeCell ref="B2:E2"/>
    <mergeCell ref="B3:C7"/>
    <mergeCell ref="D3:E5"/>
    <mergeCell ref="D6:E7"/>
    <mergeCell ref="B8:E8"/>
    <mergeCell ref="B20:E20"/>
    <mergeCell ref="B26:C26"/>
    <mergeCell ref="B27:C27"/>
    <mergeCell ref="B28:C28"/>
    <mergeCell ref="D27:E27"/>
    <mergeCell ref="D28:E28"/>
    <mergeCell ref="B29:E29"/>
    <mergeCell ref="B21:E21"/>
    <mergeCell ref="B22:E22"/>
    <mergeCell ref="B23:E23"/>
    <mergeCell ref="B24:E24"/>
    <mergeCell ref="B25:C25"/>
    <mergeCell ref="D25:E25"/>
    <mergeCell ref="D26:E26"/>
  </mergeCells>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3" width="30.0"/>
    <col customWidth="1" min="4" max="4" width="22.0"/>
    <col customWidth="1" min="5" max="5" width="30.0"/>
    <col customWidth="1" min="6" max="6" width="2.0"/>
    <col customWidth="1" min="7" max="26" width="8.71"/>
  </cols>
  <sheetData>
    <row r="1" ht="30.0" customHeight="1">
      <c r="A1" s="120"/>
      <c r="B1" s="121" t="s">
        <v>312</v>
      </c>
      <c r="C1" s="122"/>
      <c r="D1" s="122"/>
      <c r="E1" s="123"/>
      <c r="F1" s="120"/>
    </row>
    <row r="2" ht="19.5" customHeight="1">
      <c r="A2" s="120"/>
      <c r="B2" s="124" t="s">
        <v>358</v>
      </c>
      <c r="C2" s="122"/>
      <c r="D2" s="122"/>
      <c r="E2" s="123"/>
      <c r="F2" s="120"/>
    </row>
    <row r="3" ht="18.0" customHeight="1">
      <c r="A3" s="120"/>
      <c r="B3" s="148" t="s">
        <v>359</v>
      </c>
      <c r="C3" s="126"/>
      <c r="D3" s="127" t="s">
        <v>314</v>
      </c>
      <c r="E3" s="126"/>
      <c r="F3" s="120"/>
    </row>
    <row r="4" ht="18.0" customHeight="1">
      <c r="A4" s="120"/>
      <c r="B4" s="128"/>
      <c r="C4" s="129"/>
      <c r="D4" s="128"/>
      <c r="E4" s="129"/>
      <c r="F4" s="120"/>
    </row>
    <row r="5" ht="18.0" customHeight="1">
      <c r="A5" s="120"/>
      <c r="B5" s="128"/>
      <c r="C5" s="129"/>
      <c r="D5" s="130"/>
      <c r="E5" s="46"/>
      <c r="F5" s="120"/>
    </row>
    <row r="6" ht="18.0" customHeight="1">
      <c r="A6" s="120"/>
      <c r="B6" s="128"/>
      <c r="C6" s="129"/>
      <c r="D6" s="131" t="s">
        <v>360</v>
      </c>
      <c r="E6" s="126"/>
      <c r="F6" s="120"/>
    </row>
    <row r="7" ht="18.0" customHeight="1">
      <c r="A7" s="120"/>
      <c r="B7" s="130"/>
      <c r="C7" s="46"/>
      <c r="D7" s="130"/>
      <c r="E7" s="46"/>
      <c r="F7" s="120"/>
    </row>
    <row r="8" ht="21.75" customHeight="1">
      <c r="A8" s="120"/>
      <c r="B8" s="132" t="s">
        <v>4</v>
      </c>
      <c r="C8" s="122"/>
      <c r="D8" s="122"/>
      <c r="E8" s="123"/>
      <c r="F8" s="120"/>
    </row>
    <row r="9" ht="18.0" customHeight="1">
      <c r="A9" s="120"/>
      <c r="B9" s="133" t="s">
        <v>316</v>
      </c>
      <c r="C9" s="133" t="s">
        <v>317</v>
      </c>
      <c r="D9" s="133" t="s">
        <v>316</v>
      </c>
      <c r="E9" s="133" t="s">
        <v>317</v>
      </c>
      <c r="F9" s="120"/>
    </row>
    <row r="10" ht="21.75" customHeight="1">
      <c r="A10" s="120"/>
      <c r="B10" s="134" t="s">
        <v>5</v>
      </c>
      <c r="C10" s="135" t="s">
        <v>361</v>
      </c>
      <c r="D10" s="134" t="s">
        <v>7</v>
      </c>
      <c r="E10" s="135" t="s">
        <v>362</v>
      </c>
      <c r="F10" s="120"/>
    </row>
    <row r="11" ht="21.75" customHeight="1">
      <c r="A11" s="120"/>
      <c r="B11" s="136" t="s">
        <v>179</v>
      </c>
      <c r="C11" s="137" t="s">
        <v>363</v>
      </c>
      <c r="D11" s="136" t="s">
        <v>321</v>
      </c>
      <c r="E11" s="137" t="s">
        <v>364</v>
      </c>
      <c r="F11" s="120"/>
    </row>
    <row r="12" ht="21.75" customHeight="1">
      <c r="A12" s="120"/>
      <c r="B12" s="134" t="s">
        <v>323</v>
      </c>
      <c r="C12" s="135" t="s">
        <v>365</v>
      </c>
      <c r="D12" s="134" t="s">
        <v>325</v>
      </c>
      <c r="E12" s="135" t="s">
        <v>366</v>
      </c>
      <c r="F12" s="120"/>
    </row>
    <row r="13" ht="21.75" customHeight="1">
      <c r="A13" s="120"/>
      <c r="B13" s="136" t="s">
        <v>327</v>
      </c>
      <c r="C13" s="137" t="s">
        <v>367</v>
      </c>
      <c r="D13" s="136" t="s">
        <v>329</v>
      </c>
      <c r="E13" s="137" t="s">
        <v>368</v>
      </c>
      <c r="F13" s="120"/>
    </row>
    <row r="14" ht="21.75" customHeight="1">
      <c r="A14" s="120"/>
      <c r="B14" s="134" t="s">
        <v>331</v>
      </c>
      <c r="C14" s="135" t="s">
        <v>369</v>
      </c>
      <c r="D14" s="134" t="s">
        <v>333</v>
      </c>
      <c r="E14" s="135" t="s">
        <v>334</v>
      </c>
      <c r="F14" s="120"/>
    </row>
    <row r="15" ht="21.75" customHeight="1">
      <c r="A15" s="120"/>
      <c r="B15" s="136" t="s">
        <v>335</v>
      </c>
      <c r="C15" s="137" t="s">
        <v>370</v>
      </c>
      <c r="D15" s="136" t="s">
        <v>31</v>
      </c>
      <c r="E15" s="137" t="s">
        <v>371</v>
      </c>
      <c r="F15" s="120"/>
    </row>
    <row r="16" ht="21.75" customHeight="1">
      <c r="A16" s="120"/>
      <c r="B16" s="134" t="s">
        <v>29</v>
      </c>
      <c r="C16" s="135" t="s">
        <v>227</v>
      </c>
      <c r="D16" s="134" t="s">
        <v>39</v>
      </c>
      <c r="E16" s="135" t="s">
        <v>338</v>
      </c>
      <c r="F16" s="120"/>
    </row>
    <row r="17" ht="21.75" customHeight="1">
      <c r="A17" s="120"/>
      <c r="B17" s="136" t="s">
        <v>25</v>
      </c>
      <c r="C17" s="137" t="s">
        <v>372</v>
      </c>
      <c r="D17" s="136" t="s">
        <v>27</v>
      </c>
      <c r="E17" s="137" t="s">
        <v>340</v>
      </c>
      <c r="F17" s="120"/>
    </row>
    <row r="18" ht="21.75" customHeight="1">
      <c r="A18" s="120"/>
      <c r="B18" s="134" t="s">
        <v>35</v>
      </c>
      <c r="C18" s="135" t="s">
        <v>373</v>
      </c>
      <c r="D18" s="134" t="s">
        <v>342</v>
      </c>
      <c r="E18" s="135" t="s">
        <v>343</v>
      </c>
      <c r="F18" s="120"/>
    </row>
    <row r="19" ht="21.75" customHeight="1">
      <c r="A19" s="120"/>
      <c r="B19" s="136" t="s">
        <v>37</v>
      </c>
      <c r="C19" s="137" t="s">
        <v>374</v>
      </c>
      <c r="D19" s="136" t="s">
        <v>43</v>
      </c>
      <c r="E19" s="137" t="s">
        <v>375</v>
      </c>
      <c r="F19" s="120"/>
    </row>
    <row r="20" ht="21.75" customHeight="1">
      <c r="A20" s="120"/>
      <c r="B20" s="132" t="s">
        <v>45</v>
      </c>
      <c r="C20" s="122"/>
      <c r="D20" s="122"/>
      <c r="E20" s="123"/>
      <c r="F20" s="120"/>
    </row>
    <row r="21" ht="72.0" customHeight="1">
      <c r="A21" s="120"/>
      <c r="B21" s="138" t="s">
        <v>376</v>
      </c>
      <c r="C21" s="122"/>
      <c r="D21" s="122"/>
      <c r="E21" s="123"/>
      <c r="F21" s="120"/>
    </row>
    <row r="22" ht="21.75" customHeight="1">
      <c r="A22" s="120"/>
      <c r="B22" s="132" t="s">
        <v>47</v>
      </c>
      <c r="C22" s="122"/>
      <c r="D22" s="122"/>
      <c r="E22" s="123"/>
      <c r="F22" s="120"/>
    </row>
    <row r="23" ht="60.0" customHeight="1">
      <c r="A23" s="120"/>
      <c r="B23" s="139" t="s">
        <v>377</v>
      </c>
      <c r="C23" s="122"/>
      <c r="D23" s="122"/>
      <c r="E23" s="123"/>
      <c r="F23" s="120"/>
    </row>
    <row r="24" ht="21.75" customHeight="1">
      <c r="A24" s="120"/>
      <c r="B24" s="140" t="s">
        <v>348</v>
      </c>
      <c r="C24" s="122"/>
      <c r="D24" s="122"/>
      <c r="E24" s="123"/>
      <c r="F24" s="120"/>
    </row>
    <row r="25" ht="18.0" customHeight="1">
      <c r="A25" s="120"/>
      <c r="B25" s="141" t="s">
        <v>349</v>
      </c>
      <c r="C25" s="123"/>
      <c r="D25" s="142" t="s">
        <v>350</v>
      </c>
      <c r="E25" s="123"/>
      <c r="F25" s="120"/>
    </row>
    <row r="26" ht="18.0" customHeight="1">
      <c r="A26" s="120"/>
      <c r="B26" s="143" t="s">
        <v>351</v>
      </c>
      <c r="C26" s="123"/>
      <c r="D26" s="144" t="s">
        <v>352</v>
      </c>
      <c r="E26" s="123"/>
      <c r="F26" s="120"/>
    </row>
    <row r="27" ht="18.0" customHeight="1">
      <c r="A27" s="120"/>
      <c r="B27" s="141" t="s">
        <v>353</v>
      </c>
      <c r="C27" s="123"/>
      <c r="D27" s="145" t="s">
        <v>354</v>
      </c>
      <c r="E27" s="123"/>
      <c r="F27" s="120"/>
    </row>
    <row r="28" ht="18.0" customHeight="1">
      <c r="A28" s="120"/>
      <c r="B28" s="143" t="s">
        <v>355</v>
      </c>
      <c r="C28" s="123"/>
      <c r="D28" s="146" t="s">
        <v>356</v>
      </c>
      <c r="E28" s="123"/>
      <c r="F28" s="120"/>
    </row>
    <row r="29" ht="19.5" customHeight="1">
      <c r="A29" s="120"/>
      <c r="B29" s="147" t="s">
        <v>357</v>
      </c>
      <c r="C29" s="122"/>
      <c r="D29" s="122"/>
      <c r="E29" s="123"/>
      <c r="F29" s="120"/>
    </row>
    <row r="30" ht="15.75" customHeight="1">
      <c r="A30" s="120"/>
      <c r="F30" s="120"/>
    </row>
    <row r="31" ht="15.75" customHeight="1">
      <c r="A31" s="120"/>
      <c r="F31" s="120"/>
    </row>
    <row r="32" ht="15.75" customHeight="1">
      <c r="A32" s="120"/>
      <c r="F32" s="120"/>
    </row>
    <row r="33" ht="15.75" customHeight="1">
      <c r="A33" s="120"/>
      <c r="F33" s="120"/>
    </row>
    <row r="34" ht="15.75" customHeight="1">
      <c r="A34" s="120"/>
      <c r="F34" s="120"/>
    </row>
    <row r="35" ht="15.75" customHeight="1">
      <c r="A35" s="120"/>
      <c r="F35" s="120"/>
    </row>
    <row r="36" ht="15.75" customHeight="1">
      <c r="A36" s="120"/>
      <c r="F36" s="120"/>
    </row>
    <row r="37" ht="15.75" customHeight="1">
      <c r="A37" s="120"/>
      <c r="F37" s="120"/>
    </row>
    <row r="38" ht="15.75" customHeight="1">
      <c r="A38" s="120"/>
      <c r="F38" s="120"/>
    </row>
    <row r="39" ht="15.75" customHeight="1">
      <c r="A39" s="120"/>
      <c r="F39" s="120"/>
    </row>
    <row r="40" ht="15.75" customHeight="1">
      <c r="A40" s="120"/>
      <c r="F40" s="120"/>
    </row>
    <row r="41" ht="15.75" customHeight="1">
      <c r="A41" s="120"/>
      <c r="F41" s="120"/>
    </row>
    <row r="42" ht="15.75" customHeight="1">
      <c r="A42" s="120"/>
      <c r="F42" s="120"/>
    </row>
    <row r="43" ht="15.75" customHeight="1">
      <c r="A43" s="120"/>
      <c r="F43" s="120"/>
    </row>
    <row r="44" ht="15.75" customHeight="1">
      <c r="A44" s="120"/>
      <c r="F44" s="1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E1"/>
    <mergeCell ref="B2:E2"/>
    <mergeCell ref="B3:C7"/>
    <mergeCell ref="D3:E5"/>
    <mergeCell ref="D6:E7"/>
    <mergeCell ref="B8:E8"/>
    <mergeCell ref="B20:E20"/>
    <mergeCell ref="B26:C26"/>
    <mergeCell ref="B27:C27"/>
    <mergeCell ref="B28:C28"/>
    <mergeCell ref="D27:E27"/>
    <mergeCell ref="D28:E28"/>
    <mergeCell ref="B29:E29"/>
    <mergeCell ref="B21:E21"/>
    <mergeCell ref="B22:E22"/>
    <mergeCell ref="B23:E23"/>
    <mergeCell ref="B24:E24"/>
    <mergeCell ref="B25:C25"/>
    <mergeCell ref="D25:E25"/>
    <mergeCell ref="D26:E26"/>
  </mergeCells>
  <printOptions/>
  <pageMargins bottom="1.0" footer="0.0" header="0.0" left="0.75" right="0.75" top="1.0"/>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3" width="30.0"/>
    <col customWidth="1" min="4" max="4" width="22.0"/>
    <col customWidth="1" min="5" max="5" width="30.0"/>
    <col customWidth="1" min="6" max="6" width="2.0"/>
    <col customWidth="1" min="7" max="26" width="8.71"/>
  </cols>
  <sheetData>
    <row r="1" ht="30.0" customHeight="1">
      <c r="A1" s="120"/>
      <c r="B1" s="121" t="s">
        <v>312</v>
      </c>
      <c r="C1" s="122"/>
      <c r="D1" s="122"/>
      <c r="E1" s="123"/>
      <c r="F1" s="120"/>
    </row>
    <row r="2" ht="19.5" customHeight="1">
      <c r="A2" s="120"/>
      <c r="B2" s="124" t="s">
        <v>378</v>
      </c>
      <c r="C2" s="122"/>
      <c r="D2" s="122"/>
      <c r="E2" s="123"/>
      <c r="F2" s="120"/>
    </row>
    <row r="3" ht="18.0" customHeight="1">
      <c r="A3" s="120"/>
      <c r="B3" s="149" t="s">
        <v>379</v>
      </c>
      <c r="C3" s="126"/>
      <c r="D3" s="127" t="s">
        <v>380</v>
      </c>
      <c r="E3" s="126"/>
      <c r="F3" s="120"/>
    </row>
    <row r="4" ht="18.0" customHeight="1">
      <c r="A4" s="120"/>
      <c r="B4" s="128"/>
      <c r="C4" s="129"/>
      <c r="D4" s="128"/>
      <c r="E4" s="129"/>
      <c r="F4" s="120"/>
    </row>
    <row r="5" ht="18.0" customHeight="1">
      <c r="A5" s="120"/>
      <c r="B5" s="128"/>
      <c r="C5" s="129"/>
      <c r="D5" s="130"/>
      <c r="E5" s="46"/>
      <c r="F5" s="120"/>
    </row>
    <row r="6" ht="18.0" customHeight="1">
      <c r="A6" s="120"/>
      <c r="B6" s="128"/>
      <c r="C6" s="129"/>
      <c r="D6" s="131" t="s">
        <v>381</v>
      </c>
      <c r="E6" s="126"/>
      <c r="F6" s="120"/>
    </row>
    <row r="7" ht="18.0" customHeight="1">
      <c r="A7" s="120"/>
      <c r="B7" s="130"/>
      <c r="C7" s="46"/>
      <c r="D7" s="130"/>
      <c r="E7" s="46"/>
      <c r="F7" s="120"/>
    </row>
    <row r="8" ht="21.75" customHeight="1">
      <c r="A8" s="120"/>
      <c r="B8" s="132" t="s">
        <v>4</v>
      </c>
      <c r="C8" s="122"/>
      <c r="D8" s="122"/>
      <c r="E8" s="123"/>
      <c r="F8" s="120"/>
    </row>
    <row r="9" ht="18.0" customHeight="1">
      <c r="A9" s="120"/>
      <c r="B9" s="133" t="s">
        <v>316</v>
      </c>
      <c r="C9" s="133" t="s">
        <v>317</v>
      </c>
      <c r="D9" s="133" t="s">
        <v>316</v>
      </c>
      <c r="E9" s="133" t="s">
        <v>317</v>
      </c>
      <c r="F9" s="120"/>
    </row>
    <row r="10" ht="21.75" customHeight="1">
      <c r="A10" s="120"/>
      <c r="B10" s="134" t="s">
        <v>5</v>
      </c>
      <c r="C10" s="135" t="s">
        <v>382</v>
      </c>
      <c r="D10" s="134" t="s">
        <v>7</v>
      </c>
      <c r="E10" s="135" t="s">
        <v>383</v>
      </c>
      <c r="F10" s="120"/>
    </row>
    <row r="11" ht="21.75" customHeight="1">
      <c r="A11" s="120"/>
      <c r="B11" s="136" t="s">
        <v>179</v>
      </c>
      <c r="C11" s="137" t="s">
        <v>384</v>
      </c>
      <c r="D11" s="136" t="s">
        <v>321</v>
      </c>
      <c r="E11" s="137" t="s">
        <v>385</v>
      </c>
      <c r="F11" s="120"/>
    </row>
    <row r="12" ht="21.75" customHeight="1">
      <c r="A12" s="120"/>
      <c r="B12" s="134" t="s">
        <v>323</v>
      </c>
      <c r="C12" s="135" t="s">
        <v>386</v>
      </c>
      <c r="D12" s="134" t="s">
        <v>325</v>
      </c>
      <c r="E12" s="135" t="s">
        <v>387</v>
      </c>
      <c r="F12" s="120"/>
    </row>
    <row r="13" ht="21.75" customHeight="1">
      <c r="A13" s="120"/>
      <c r="B13" s="136" t="s">
        <v>327</v>
      </c>
      <c r="C13" s="137" t="s">
        <v>388</v>
      </c>
      <c r="D13" s="136" t="s">
        <v>329</v>
      </c>
      <c r="E13" s="137" t="s">
        <v>389</v>
      </c>
      <c r="F13" s="120"/>
    </row>
    <row r="14" ht="21.75" customHeight="1">
      <c r="A14" s="120"/>
      <c r="B14" s="134" t="s">
        <v>331</v>
      </c>
      <c r="C14" s="135" t="s">
        <v>390</v>
      </c>
      <c r="D14" s="134" t="s">
        <v>333</v>
      </c>
      <c r="E14" s="135" t="s">
        <v>334</v>
      </c>
      <c r="F14" s="120"/>
    </row>
    <row r="15" ht="21.75" customHeight="1">
      <c r="A15" s="120"/>
      <c r="B15" s="136" t="s">
        <v>335</v>
      </c>
      <c r="C15" s="137" t="s">
        <v>391</v>
      </c>
      <c r="D15" s="136" t="s">
        <v>31</v>
      </c>
      <c r="E15" s="137" t="s">
        <v>337</v>
      </c>
      <c r="F15" s="120"/>
    </row>
    <row r="16" ht="21.75" customHeight="1">
      <c r="A16" s="120"/>
      <c r="B16" s="134" t="s">
        <v>29</v>
      </c>
      <c r="C16" s="135" t="s">
        <v>227</v>
      </c>
      <c r="D16" s="134" t="s">
        <v>39</v>
      </c>
      <c r="E16" s="135" t="s">
        <v>338</v>
      </c>
      <c r="F16" s="120"/>
    </row>
    <row r="17" ht="21.75" customHeight="1">
      <c r="A17" s="120"/>
      <c r="B17" s="136" t="s">
        <v>25</v>
      </c>
      <c r="C17" s="137" t="s">
        <v>392</v>
      </c>
      <c r="D17" s="136" t="s">
        <v>27</v>
      </c>
      <c r="E17" s="137" t="s">
        <v>340</v>
      </c>
      <c r="F17" s="120"/>
    </row>
    <row r="18" ht="21.75" customHeight="1">
      <c r="A18" s="120"/>
      <c r="B18" s="134" t="s">
        <v>35</v>
      </c>
      <c r="C18" s="135" t="s">
        <v>393</v>
      </c>
      <c r="D18" s="134" t="s">
        <v>342</v>
      </c>
      <c r="E18" s="135" t="s">
        <v>343</v>
      </c>
      <c r="F18" s="120"/>
    </row>
    <row r="19" ht="21.75" customHeight="1">
      <c r="A19" s="120"/>
      <c r="B19" s="136" t="s">
        <v>37</v>
      </c>
      <c r="C19" s="137" t="s">
        <v>394</v>
      </c>
      <c r="D19" s="136" t="s">
        <v>43</v>
      </c>
      <c r="E19" s="137" t="s">
        <v>395</v>
      </c>
      <c r="F19" s="120"/>
    </row>
    <row r="20" ht="21.75" customHeight="1">
      <c r="A20" s="120"/>
      <c r="B20" s="132" t="s">
        <v>45</v>
      </c>
      <c r="C20" s="122"/>
      <c r="D20" s="122"/>
      <c r="E20" s="123"/>
      <c r="F20" s="120"/>
    </row>
    <row r="21" ht="72.0" customHeight="1">
      <c r="A21" s="120"/>
      <c r="B21" s="138" t="s">
        <v>396</v>
      </c>
      <c r="C21" s="122"/>
      <c r="D21" s="122"/>
      <c r="E21" s="123"/>
      <c r="F21" s="120"/>
    </row>
    <row r="22" ht="21.75" customHeight="1">
      <c r="A22" s="120"/>
      <c r="B22" s="132" t="s">
        <v>47</v>
      </c>
      <c r="C22" s="122"/>
      <c r="D22" s="122"/>
      <c r="E22" s="123"/>
      <c r="F22" s="120"/>
    </row>
    <row r="23" ht="60.0" customHeight="1">
      <c r="A23" s="120"/>
      <c r="B23" s="139" t="s">
        <v>397</v>
      </c>
      <c r="C23" s="122"/>
      <c r="D23" s="122"/>
      <c r="E23" s="123"/>
      <c r="F23" s="120"/>
    </row>
    <row r="24" ht="21.75" customHeight="1">
      <c r="A24" s="120"/>
      <c r="B24" s="140" t="s">
        <v>348</v>
      </c>
      <c r="C24" s="122"/>
      <c r="D24" s="122"/>
      <c r="E24" s="123"/>
      <c r="F24" s="120"/>
    </row>
    <row r="25" ht="18.0" customHeight="1">
      <c r="A25" s="120"/>
      <c r="B25" s="141" t="s">
        <v>349</v>
      </c>
      <c r="C25" s="123"/>
      <c r="D25" s="142" t="s">
        <v>398</v>
      </c>
      <c r="E25" s="123"/>
      <c r="F25" s="120"/>
    </row>
    <row r="26" ht="18.0" customHeight="1">
      <c r="A26" s="120"/>
      <c r="B26" s="143" t="s">
        <v>351</v>
      </c>
      <c r="C26" s="123"/>
      <c r="D26" s="144" t="s">
        <v>352</v>
      </c>
      <c r="E26" s="123"/>
      <c r="F26" s="120"/>
    </row>
    <row r="27" ht="18.0" customHeight="1">
      <c r="A27" s="120"/>
      <c r="B27" s="141" t="s">
        <v>353</v>
      </c>
      <c r="C27" s="123"/>
      <c r="D27" s="145" t="s">
        <v>399</v>
      </c>
      <c r="E27" s="123"/>
      <c r="F27" s="120"/>
    </row>
    <row r="28" ht="18.0" customHeight="1">
      <c r="A28" s="120"/>
      <c r="B28" s="143" t="s">
        <v>355</v>
      </c>
      <c r="C28" s="123"/>
      <c r="D28" s="146" t="s">
        <v>400</v>
      </c>
      <c r="E28" s="123"/>
      <c r="F28" s="120"/>
    </row>
    <row r="29" ht="19.5" customHeight="1">
      <c r="A29" s="120"/>
      <c r="B29" s="147" t="s">
        <v>357</v>
      </c>
      <c r="C29" s="122"/>
      <c r="D29" s="122"/>
      <c r="E29" s="123"/>
      <c r="F29" s="120"/>
    </row>
    <row r="30" ht="15.75" customHeight="1">
      <c r="A30" s="120"/>
      <c r="F30" s="120"/>
    </row>
    <row r="31" ht="15.75" customHeight="1">
      <c r="A31" s="120"/>
      <c r="F31" s="120"/>
    </row>
    <row r="32" ht="15.75" customHeight="1">
      <c r="A32" s="120"/>
      <c r="F32" s="120"/>
    </row>
    <row r="33" ht="15.75" customHeight="1">
      <c r="A33" s="120"/>
      <c r="F33" s="120"/>
    </row>
    <row r="34" ht="15.75" customHeight="1">
      <c r="A34" s="120"/>
      <c r="F34" s="120"/>
    </row>
    <row r="35" ht="15.75" customHeight="1">
      <c r="A35" s="120"/>
      <c r="F35" s="120"/>
    </row>
    <row r="36" ht="15.75" customHeight="1">
      <c r="A36" s="120"/>
      <c r="F36" s="120"/>
    </row>
    <row r="37" ht="15.75" customHeight="1">
      <c r="A37" s="120"/>
      <c r="F37" s="120"/>
    </row>
    <row r="38" ht="15.75" customHeight="1">
      <c r="A38" s="120"/>
      <c r="F38" s="120"/>
    </row>
    <row r="39" ht="15.75" customHeight="1">
      <c r="A39" s="120"/>
      <c r="F39" s="120"/>
    </row>
    <row r="40" ht="15.75" customHeight="1">
      <c r="A40" s="120"/>
      <c r="F40" s="120"/>
    </row>
    <row r="41" ht="15.75" customHeight="1">
      <c r="A41" s="120"/>
      <c r="F41" s="120"/>
    </row>
    <row r="42" ht="15.75" customHeight="1">
      <c r="A42" s="120"/>
      <c r="F42" s="120"/>
    </row>
    <row r="43" ht="15.75" customHeight="1">
      <c r="A43" s="120"/>
      <c r="F43" s="120"/>
    </row>
    <row r="44" ht="15.75" customHeight="1">
      <c r="A44" s="120"/>
      <c r="F44" s="1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E1"/>
    <mergeCell ref="B2:E2"/>
    <mergeCell ref="B3:C7"/>
    <mergeCell ref="D3:E5"/>
    <mergeCell ref="D6:E7"/>
    <mergeCell ref="B8:E8"/>
    <mergeCell ref="B20:E20"/>
    <mergeCell ref="B26:C26"/>
    <mergeCell ref="B27:C27"/>
    <mergeCell ref="B28:C28"/>
    <mergeCell ref="D27:E27"/>
    <mergeCell ref="D28:E28"/>
    <mergeCell ref="B29:E29"/>
    <mergeCell ref="B21:E21"/>
    <mergeCell ref="B22:E22"/>
    <mergeCell ref="B23:E23"/>
    <mergeCell ref="B24:E24"/>
    <mergeCell ref="B25:C25"/>
    <mergeCell ref="D25:E25"/>
    <mergeCell ref="D26:E26"/>
  </mergeCells>
  <printOptions/>
  <pageMargins bottom="1.0" footer="0.0" header="0.0" left="0.75" right="0.75" top="1.0"/>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28.0"/>
    <col customWidth="1" min="3" max="5" width="18.0"/>
    <col customWidth="1" min="6" max="6" width="2.0"/>
    <col customWidth="1" min="7" max="26" width="8.71"/>
  </cols>
  <sheetData>
    <row r="1" ht="31.5" customHeight="1">
      <c r="A1" s="120"/>
      <c r="B1" s="150" t="s">
        <v>401</v>
      </c>
      <c r="C1" s="122"/>
      <c r="D1" s="122"/>
      <c r="E1" s="123"/>
      <c r="F1" s="120"/>
    </row>
    <row r="2" ht="19.5" customHeight="1">
      <c r="A2" s="120"/>
      <c r="B2" s="141" t="s">
        <v>402</v>
      </c>
      <c r="C2" s="122"/>
      <c r="D2" s="122"/>
      <c r="E2" s="123"/>
      <c r="F2" s="120"/>
    </row>
    <row r="3">
      <c r="A3" s="120"/>
      <c r="F3" s="120"/>
    </row>
    <row r="4" ht="21.75" customHeight="1">
      <c r="A4" s="120"/>
      <c r="B4" s="133" t="s">
        <v>403</v>
      </c>
      <c r="C4" s="133" t="s">
        <v>157</v>
      </c>
      <c r="D4" s="133" t="s">
        <v>404</v>
      </c>
      <c r="E4" s="133" t="s">
        <v>379</v>
      </c>
      <c r="F4" s="120"/>
    </row>
    <row r="5" ht="19.5" customHeight="1">
      <c r="A5" s="120"/>
      <c r="B5" s="151" t="s">
        <v>5</v>
      </c>
      <c r="C5" s="152" t="s">
        <v>318</v>
      </c>
      <c r="D5" s="152" t="s">
        <v>405</v>
      </c>
      <c r="E5" s="152" t="s">
        <v>406</v>
      </c>
      <c r="F5" s="120"/>
    </row>
    <row r="6" ht="19.5" customHeight="1">
      <c r="A6" s="120"/>
      <c r="B6" s="151" t="s">
        <v>407</v>
      </c>
      <c r="C6" s="153" t="s">
        <v>408</v>
      </c>
      <c r="D6" s="153" t="s">
        <v>409</v>
      </c>
      <c r="E6" s="153" t="s">
        <v>410</v>
      </c>
      <c r="F6" s="120"/>
    </row>
    <row r="7" ht="19.5" customHeight="1">
      <c r="A7" s="120"/>
      <c r="B7" s="151" t="s">
        <v>411</v>
      </c>
      <c r="C7" s="154" t="s">
        <v>412</v>
      </c>
      <c r="D7" s="154" t="s">
        <v>412</v>
      </c>
      <c r="E7" s="154" t="s">
        <v>413</v>
      </c>
      <c r="F7" s="120"/>
    </row>
    <row r="8" ht="19.5" customHeight="1">
      <c r="A8" s="120"/>
      <c r="B8" s="151" t="s">
        <v>414</v>
      </c>
      <c r="C8" s="154" t="s">
        <v>415</v>
      </c>
      <c r="D8" s="154" t="s">
        <v>415</v>
      </c>
      <c r="E8" s="154" t="s">
        <v>416</v>
      </c>
      <c r="F8" s="120"/>
    </row>
    <row r="9" ht="19.5" customHeight="1">
      <c r="A9" s="120"/>
      <c r="B9" s="151" t="s">
        <v>417</v>
      </c>
      <c r="C9" s="154" t="s">
        <v>418</v>
      </c>
      <c r="D9" s="154" t="s">
        <v>418</v>
      </c>
      <c r="E9" s="154" t="s">
        <v>419</v>
      </c>
      <c r="F9" s="120"/>
    </row>
    <row r="10" ht="19.5" customHeight="1">
      <c r="A10" s="120"/>
      <c r="B10" s="151" t="s">
        <v>420</v>
      </c>
      <c r="C10" s="153" t="s">
        <v>421</v>
      </c>
      <c r="D10" s="153" t="s">
        <v>422</v>
      </c>
      <c r="E10" s="153" t="s">
        <v>421</v>
      </c>
      <c r="F10" s="120"/>
    </row>
    <row r="11" ht="19.5" customHeight="1">
      <c r="A11" s="120"/>
      <c r="B11" s="151" t="s">
        <v>323</v>
      </c>
      <c r="C11" s="152" t="s">
        <v>423</v>
      </c>
      <c r="D11" s="152" t="s">
        <v>424</v>
      </c>
      <c r="E11" s="152" t="s">
        <v>425</v>
      </c>
      <c r="F11" s="120"/>
    </row>
    <row r="12" ht="19.5" customHeight="1">
      <c r="A12" s="120"/>
      <c r="B12" s="151" t="s">
        <v>426</v>
      </c>
      <c r="C12" s="153" t="s">
        <v>427</v>
      </c>
      <c r="D12" s="153" t="s">
        <v>428</v>
      </c>
      <c r="E12" s="153" t="s">
        <v>429</v>
      </c>
      <c r="F12" s="120"/>
    </row>
    <row r="13" ht="19.5" customHeight="1">
      <c r="A13" s="120"/>
      <c r="B13" s="151" t="s">
        <v>327</v>
      </c>
      <c r="C13" s="152" t="s">
        <v>430</v>
      </c>
      <c r="D13" s="152" t="s">
        <v>431</v>
      </c>
      <c r="E13" s="152" t="s">
        <v>432</v>
      </c>
      <c r="F13" s="120"/>
    </row>
    <row r="14" ht="19.5" customHeight="1">
      <c r="A14" s="120"/>
      <c r="B14" s="151" t="s">
        <v>433</v>
      </c>
      <c r="C14" s="153" t="s">
        <v>434</v>
      </c>
      <c r="D14" s="153" t="s">
        <v>435</v>
      </c>
      <c r="E14" s="153" t="s">
        <v>435</v>
      </c>
      <c r="F14" s="120"/>
    </row>
    <row r="15" ht="19.5" customHeight="1">
      <c r="A15" s="120"/>
      <c r="B15" s="151" t="s">
        <v>436</v>
      </c>
      <c r="C15" s="152" t="s">
        <v>437</v>
      </c>
      <c r="D15" s="152" t="s">
        <v>438</v>
      </c>
      <c r="E15" s="152" t="s">
        <v>439</v>
      </c>
      <c r="F15" s="120"/>
    </row>
    <row r="16" ht="19.5" customHeight="1">
      <c r="A16" s="120"/>
      <c r="B16" s="151" t="s">
        <v>440</v>
      </c>
      <c r="C16" s="153" t="s">
        <v>441</v>
      </c>
      <c r="D16" s="153" t="s">
        <v>442</v>
      </c>
      <c r="E16" s="153" t="s">
        <v>443</v>
      </c>
      <c r="F16" s="120"/>
    </row>
    <row r="17" ht="19.5" customHeight="1">
      <c r="A17" s="120"/>
      <c r="B17" s="151" t="s">
        <v>444</v>
      </c>
      <c r="C17" s="152" t="s">
        <v>227</v>
      </c>
      <c r="D17" s="152" t="s">
        <v>227</v>
      </c>
      <c r="E17" s="152" t="s">
        <v>227</v>
      </c>
      <c r="F17" s="120"/>
    </row>
    <row r="18" ht="19.5" customHeight="1">
      <c r="A18" s="120"/>
      <c r="B18" s="151" t="s">
        <v>31</v>
      </c>
      <c r="C18" s="153" t="s">
        <v>445</v>
      </c>
      <c r="D18" s="153" t="s">
        <v>446</v>
      </c>
      <c r="E18" s="153" t="s">
        <v>445</v>
      </c>
      <c r="F18" s="120"/>
    </row>
    <row r="19" ht="19.5" customHeight="1">
      <c r="A19" s="120"/>
      <c r="B19" s="151" t="s">
        <v>447</v>
      </c>
      <c r="C19" s="154" t="s">
        <v>448</v>
      </c>
      <c r="D19" s="154" t="s">
        <v>449</v>
      </c>
      <c r="E19" s="154" t="s">
        <v>450</v>
      </c>
      <c r="F19" s="120"/>
    </row>
    <row r="20">
      <c r="A20" s="120"/>
      <c r="F20" s="120"/>
    </row>
    <row r="21" ht="21.75" customHeight="1">
      <c r="A21" s="120"/>
      <c r="B21" s="132" t="s">
        <v>451</v>
      </c>
      <c r="C21" s="122"/>
      <c r="D21" s="122"/>
      <c r="E21" s="123"/>
      <c r="F21" s="120"/>
    </row>
    <row r="22" ht="72.0" customHeight="1">
      <c r="A22" s="120"/>
      <c r="B22" s="155" t="s">
        <v>452</v>
      </c>
      <c r="C22" s="122"/>
      <c r="D22" s="122"/>
      <c r="E22" s="123"/>
      <c r="F22" s="120"/>
    </row>
    <row r="23" ht="19.5" customHeight="1">
      <c r="A23" s="120"/>
      <c r="B23" s="147" t="s">
        <v>453</v>
      </c>
      <c r="C23" s="122"/>
      <c r="D23" s="122"/>
      <c r="E23" s="123"/>
      <c r="F23" s="120"/>
    </row>
    <row r="24" ht="15.75" customHeight="1">
      <c r="A24" s="120"/>
      <c r="F24" s="120"/>
    </row>
    <row r="25" ht="15.75" customHeight="1">
      <c r="A25" s="120"/>
      <c r="F25" s="120"/>
    </row>
    <row r="26" ht="15.75" customHeight="1">
      <c r="A26" s="120"/>
      <c r="F26" s="120"/>
    </row>
    <row r="27" ht="15.75" customHeight="1">
      <c r="A27" s="120"/>
      <c r="F27" s="120"/>
    </row>
    <row r="28" ht="15.75" customHeight="1">
      <c r="A28" s="120"/>
      <c r="F28" s="120"/>
    </row>
    <row r="29" ht="15.75" customHeight="1">
      <c r="A29" s="120"/>
      <c r="F29" s="120"/>
    </row>
    <row r="30" ht="15.75" customHeight="1">
      <c r="A30" s="120"/>
      <c r="F30" s="120"/>
    </row>
    <row r="31" ht="15.75" customHeight="1">
      <c r="A31" s="120"/>
      <c r="F31" s="120"/>
    </row>
    <row r="32" ht="15.75" customHeight="1">
      <c r="A32" s="120"/>
      <c r="F32" s="120"/>
    </row>
    <row r="33" ht="15.75" customHeight="1">
      <c r="A33" s="120"/>
      <c r="F33" s="120"/>
    </row>
    <row r="34" ht="15.75" customHeight="1">
      <c r="A34" s="120"/>
      <c r="F34" s="1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B2:E2"/>
    <mergeCell ref="B21:E21"/>
    <mergeCell ref="B22:E22"/>
    <mergeCell ref="B23:E2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3.5" customHeight="1">
      <c r="A1" s="156" t="s">
        <v>454</v>
      </c>
      <c r="B1" s="38"/>
      <c r="C1" s="38"/>
      <c r="D1" s="38"/>
      <c r="E1" s="38"/>
      <c r="F1" s="38"/>
      <c r="G1" s="39"/>
    </row>
    <row r="2" ht="25.5" customHeight="1">
      <c r="A2" s="157" t="s">
        <v>455</v>
      </c>
      <c r="B2" s="38"/>
      <c r="C2" s="38"/>
      <c r="D2" s="38"/>
      <c r="E2" s="38"/>
      <c r="F2" s="38"/>
      <c r="G2" s="39"/>
    </row>
    <row r="3" ht="21.75" customHeight="1">
      <c r="A3" s="158" t="s">
        <v>456</v>
      </c>
      <c r="B3" s="159"/>
      <c r="C3" s="43"/>
      <c r="D3" s="160" t="s">
        <v>457</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164" t="s">
        <v>4</v>
      </c>
      <c r="B9" s="38"/>
      <c r="C9" s="38"/>
      <c r="D9" s="38"/>
      <c r="E9" s="38"/>
      <c r="F9" s="38"/>
      <c r="G9" s="39"/>
    </row>
    <row r="10" ht="27.75" customHeight="1">
      <c r="B10" s="165" t="s">
        <v>5</v>
      </c>
      <c r="C10" s="166" t="s">
        <v>6</v>
      </c>
      <c r="D10" s="167"/>
      <c r="E10" s="165" t="s">
        <v>7</v>
      </c>
      <c r="F10" s="166" t="s">
        <v>458</v>
      </c>
    </row>
    <row r="11" ht="27.75" customHeight="1">
      <c r="B11" s="168" t="s">
        <v>459</v>
      </c>
      <c r="C11" s="169" t="s">
        <v>460</v>
      </c>
      <c r="D11" s="167"/>
      <c r="E11" s="168" t="s">
        <v>461</v>
      </c>
      <c r="F11" s="169" t="s">
        <v>462</v>
      </c>
    </row>
    <row r="12" ht="27.75" customHeight="1">
      <c r="B12" s="165" t="s">
        <v>463</v>
      </c>
      <c r="C12" s="166" t="s">
        <v>464</v>
      </c>
      <c r="D12" s="167"/>
      <c r="E12" s="165" t="s">
        <v>465</v>
      </c>
      <c r="F12" s="166" t="s">
        <v>466</v>
      </c>
    </row>
    <row r="13" ht="27.75" customHeight="1">
      <c r="B13" s="168" t="s">
        <v>467</v>
      </c>
      <c r="C13" s="169" t="s">
        <v>468</v>
      </c>
      <c r="D13" s="167"/>
      <c r="E13" s="168" t="s">
        <v>469</v>
      </c>
      <c r="F13" s="169" t="s">
        <v>470</v>
      </c>
    </row>
    <row r="14" ht="33.75" customHeight="1">
      <c r="B14" s="165" t="s">
        <v>471</v>
      </c>
      <c r="C14" s="166" t="s">
        <v>472</v>
      </c>
      <c r="D14" s="167"/>
      <c r="E14" s="165" t="s">
        <v>473</v>
      </c>
      <c r="F14" s="166" t="s">
        <v>474</v>
      </c>
    </row>
    <row r="15" ht="27.75" customHeight="1">
      <c r="B15" s="168" t="s">
        <v>475</v>
      </c>
      <c r="C15" s="169" t="s">
        <v>192</v>
      </c>
      <c r="D15" s="167"/>
      <c r="E15" s="168" t="s">
        <v>476</v>
      </c>
      <c r="F15" s="169" t="s">
        <v>477</v>
      </c>
    </row>
    <row r="16" ht="27.75" customHeight="1">
      <c r="B16" s="165" t="s">
        <v>478</v>
      </c>
      <c r="C16" s="166" t="s">
        <v>479</v>
      </c>
      <c r="D16" s="167"/>
      <c r="E16" s="165" t="s">
        <v>480</v>
      </c>
      <c r="F16" s="166" t="s">
        <v>481</v>
      </c>
    </row>
    <row r="17" ht="27.75" customHeight="1">
      <c r="B17" s="168" t="s">
        <v>482</v>
      </c>
      <c r="C17" s="169" t="s">
        <v>483</v>
      </c>
      <c r="D17" s="167"/>
      <c r="E17" s="168" t="s">
        <v>484</v>
      </c>
      <c r="F17" s="169" t="s">
        <v>485</v>
      </c>
    </row>
    <row r="18" ht="27.75" customHeight="1">
      <c r="B18" s="165" t="s">
        <v>486</v>
      </c>
      <c r="C18" s="166" t="s">
        <v>487</v>
      </c>
      <c r="D18" s="167"/>
      <c r="E18" s="165" t="s">
        <v>488</v>
      </c>
      <c r="F18" s="166" t="s">
        <v>489</v>
      </c>
    </row>
    <row r="19" ht="33.75" customHeight="1">
      <c r="B19" s="168" t="s">
        <v>490</v>
      </c>
      <c r="C19" s="169" t="s">
        <v>491</v>
      </c>
      <c r="D19" s="167"/>
      <c r="E19" s="168" t="s">
        <v>492</v>
      </c>
      <c r="F19" s="169" t="s">
        <v>493</v>
      </c>
    </row>
    <row r="20" ht="6.0" customHeight="1">
      <c r="A20" s="163"/>
      <c r="B20" s="38"/>
      <c r="C20" s="38"/>
      <c r="D20" s="38"/>
      <c r="E20" s="38"/>
      <c r="F20" s="38"/>
      <c r="G20" s="39"/>
    </row>
    <row r="21" ht="24.0" customHeight="1">
      <c r="A21" s="164" t="s">
        <v>45</v>
      </c>
      <c r="B21" s="38"/>
      <c r="C21" s="38"/>
      <c r="D21" s="38"/>
      <c r="E21" s="38"/>
      <c r="F21" s="38"/>
      <c r="G21" s="39"/>
    </row>
    <row r="22" ht="18.0" customHeight="1">
      <c r="B22" s="170" t="s">
        <v>494</v>
      </c>
      <c r="C22" s="171"/>
      <c r="D22" s="171"/>
      <c r="E22" s="171"/>
      <c r="F22" s="172"/>
    </row>
    <row r="23" ht="18.0" customHeight="1">
      <c r="B23" s="173"/>
      <c r="F23" s="129"/>
    </row>
    <row r="24" ht="18.0" customHeight="1">
      <c r="B24" s="173"/>
      <c r="F24" s="129"/>
    </row>
    <row r="25" ht="18.0" customHeight="1">
      <c r="B25" s="174"/>
      <c r="C25" s="162"/>
      <c r="D25" s="162"/>
      <c r="E25" s="162"/>
      <c r="F25" s="46"/>
    </row>
    <row r="26" ht="6.0" customHeight="1">
      <c r="A26" s="163"/>
      <c r="B26" s="38"/>
      <c r="C26" s="38"/>
      <c r="D26" s="38"/>
      <c r="E26" s="38"/>
      <c r="F26" s="38"/>
      <c r="G26" s="39"/>
    </row>
    <row r="27" ht="24.0" customHeight="1">
      <c r="A27" s="175" t="s">
        <v>47</v>
      </c>
      <c r="B27" s="38"/>
      <c r="C27" s="38"/>
      <c r="D27" s="38"/>
      <c r="E27" s="38"/>
      <c r="F27" s="38"/>
      <c r="G27" s="39"/>
    </row>
    <row r="28" ht="21.75" customHeight="1">
      <c r="B28" s="176" t="s">
        <v>495</v>
      </c>
      <c r="C28" s="177"/>
      <c r="D28" s="177"/>
      <c r="E28" s="177"/>
      <c r="F28" s="178"/>
    </row>
    <row r="29" ht="21.75" customHeight="1">
      <c r="B29" s="179"/>
      <c r="F29" s="129"/>
    </row>
    <row r="30" ht="21.75" customHeight="1">
      <c r="B30" s="180"/>
      <c r="C30" s="162"/>
      <c r="D30" s="162"/>
      <c r="E30" s="162"/>
      <c r="F30" s="46"/>
    </row>
    <row r="31" ht="7.5" customHeight="1">
      <c r="A31" s="163"/>
      <c r="B31" s="38"/>
      <c r="C31" s="38"/>
      <c r="D31" s="38"/>
      <c r="E31" s="38"/>
      <c r="F31" s="38"/>
      <c r="G31" s="39"/>
    </row>
    <row r="32" ht="19.5" customHeight="1">
      <c r="A32" s="181"/>
      <c r="B32" s="182" t="s">
        <v>496</v>
      </c>
      <c r="C32" s="39"/>
      <c r="D32" s="183" t="s">
        <v>497</v>
      </c>
      <c r="E32" s="184" t="s">
        <v>498</v>
      </c>
      <c r="F32" s="39"/>
      <c r="G32" s="18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3.5" customHeight="1">
      <c r="A1" s="156" t="s">
        <v>454</v>
      </c>
      <c r="B1" s="38"/>
      <c r="C1" s="38"/>
      <c r="D1" s="38"/>
      <c r="E1" s="38"/>
      <c r="F1" s="38"/>
      <c r="G1" s="39"/>
    </row>
    <row r="2" ht="25.5" customHeight="1">
      <c r="A2" s="157" t="s">
        <v>499</v>
      </c>
      <c r="B2" s="38"/>
      <c r="C2" s="38"/>
      <c r="D2" s="38"/>
      <c r="E2" s="38"/>
      <c r="F2" s="38"/>
      <c r="G2" s="39"/>
    </row>
    <row r="3" ht="21.75" customHeight="1">
      <c r="A3" s="185" t="s">
        <v>500</v>
      </c>
      <c r="B3" s="159"/>
      <c r="C3" s="43"/>
      <c r="D3" s="160" t="s">
        <v>501</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164" t="s">
        <v>4</v>
      </c>
      <c r="B9" s="38"/>
      <c r="C9" s="38"/>
      <c r="D9" s="38"/>
      <c r="E9" s="38"/>
      <c r="F9" s="38"/>
      <c r="G9" s="39"/>
    </row>
    <row r="10" ht="27.75" customHeight="1">
      <c r="B10" s="165" t="s">
        <v>5</v>
      </c>
      <c r="C10" s="166" t="s">
        <v>502</v>
      </c>
      <c r="D10" s="167"/>
      <c r="E10" s="165" t="s">
        <v>7</v>
      </c>
      <c r="F10" s="166" t="s">
        <v>503</v>
      </c>
    </row>
    <row r="11" ht="27.75" customHeight="1">
      <c r="B11" s="168" t="s">
        <v>459</v>
      </c>
      <c r="C11" s="169" t="s">
        <v>460</v>
      </c>
      <c r="D11" s="167"/>
      <c r="E11" s="168" t="s">
        <v>461</v>
      </c>
      <c r="F11" s="169" t="s">
        <v>504</v>
      </c>
    </row>
    <row r="12" ht="27.75" customHeight="1">
      <c r="B12" s="165" t="s">
        <v>463</v>
      </c>
      <c r="C12" s="166" t="s">
        <v>505</v>
      </c>
      <c r="D12" s="167"/>
      <c r="E12" s="165" t="s">
        <v>465</v>
      </c>
      <c r="F12" s="166" t="s">
        <v>506</v>
      </c>
    </row>
    <row r="13" ht="33.75" customHeight="1">
      <c r="B13" s="168" t="s">
        <v>467</v>
      </c>
      <c r="C13" s="169" t="s">
        <v>507</v>
      </c>
      <c r="D13" s="167"/>
      <c r="E13" s="168" t="s">
        <v>469</v>
      </c>
      <c r="F13" s="169" t="s">
        <v>508</v>
      </c>
    </row>
    <row r="14" ht="33.75" customHeight="1">
      <c r="B14" s="165" t="s">
        <v>471</v>
      </c>
      <c r="C14" s="166" t="s">
        <v>509</v>
      </c>
      <c r="D14" s="167"/>
      <c r="E14" s="165" t="s">
        <v>473</v>
      </c>
      <c r="F14" s="166" t="s">
        <v>510</v>
      </c>
    </row>
    <row r="15" ht="27.75" customHeight="1">
      <c r="B15" s="168" t="s">
        <v>475</v>
      </c>
      <c r="C15" s="169" t="s">
        <v>227</v>
      </c>
      <c r="D15" s="167"/>
      <c r="E15" s="168" t="s">
        <v>476</v>
      </c>
      <c r="F15" s="169" t="s">
        <v>511</v>
      </c>
    </row>
    <row r="16" ht="27.75" customHeight="1">
      <c r="B16" s="165" t="s">
        <v>478</v>
      </c>
      <c r="C16" s="166" t="s">
        <v>512</v>
      </c>
      <c r="D16" s="167"/>
      <c r="E16" s="165" t="s">
        <v>480</v>
      </c>
      <c r="F16" s="166" t="s">
        <v>481</v>
      </c>
    </row>
    <row r="17" ht="27.75" customHeight="1">
      <c r="B17" s="168" t="s">
        <v>513</v>
      </c>
      <c r="C17" s="169" t="s">
        <v>514</v>
      </c>
      <c r="D17" s="167"/>
      <c r="E17" s="168" t="s">
        <v>484</v>
      </c>
      <c r="F17" s="169" t="s">
        <v>515</v>
      </c>
    </row>
    <row r="18" ht="27.75" customHeight="1">
      <c r="B18" s="165" t="s">
        <v>486</v>
      </c>
      <c r="C18" s="166" t="s">
        <v>516</v>
      </c>
      <c r="D18" s="167"/>
      <c r="E18" s="165" t="s">
        <v>488</v>
      </c>
      <c r="F18" s="166" t="s">
        <v>517</v>
      </c>
    </row>
    <row r="19" ht="33.75" customHeight="1">
      <c r="B19" s="168" t="s">
        <v>490</v>
      </c>
      <c r="C19" s="169" t="s">
        <v>518</v>
      </c>
      <c r="D19" s="167"/>
      <c r="E19" s="168" t="s">
        <v>492</v>
      </c>
      <c r="F19" s="169" t="s">
        <v>519</v>
      </c>
    </row>
    <row r="20" ht="6.0" customHeight="1">
      <c r="A20" s="163"/>
      <c r="B20" s="38"/>
      <c r="C20" s="38"/>
      <c r="D20" s="38"/>
      <c r="E20" s="38"/>
      <c r="F20" s="38"/>
      <c r="G20" s="39"/>
    </row>
    <row r="21" ht="24.0" customHeight="1">
      <c r="A21" s="164" t="s">
        <v>45</v>
      </c>
      <c r="B21" s="38"/>
      <c r="C21" s="38"/>
      <c r="D21" s="38"/>
      <c r="E21" s="38"/>
      <c r="F21" s="38"/>
      <c r="G21" s="39"/>
    </row>
    <row r="22" ht="18.0" customHeight="1">
      <c r="B22" s="170" t="s">
        <v>520</v>
      </c>
      <c r="C22" s="171"/>
      <c r="D22" s="171"/>
      <c r="E22" s="171"/>
      <c r="F22" s="172"/>
    </row>
    <row r="23" ht="18.0" customHeight="1">
      <c r="B23" s="173"/>
      <c r="F23" s="129"/>
    </row>
    <row r="24" ht="18.0" customHeight="1">
      <c r="B24" s="173"/>
      <c r="F24" s="129"/>
    </row>
    <row r="25" ht="18.0" customHeight="1">
      <c r="B25" s="174"/>
      <c r="C25" s="162"/>
      <c r="D25" s="162"/>
      <c r="E25" s="162"/>
      <c r="F25" s="46"/>
    </row>
    <row r="26" ht="6.0" customHeight="1">
      <c r="A26" s="163"/>
      <c r="B26" s="38"/>
      <c r="C26" s="38"/>
      <c r="D26" s="38"/>
      <c r="E26" s="38"/>
      <c r="F26" s="38"/>
      <c r="G26" s="39"/>
    </row>
    <row r="27" ht="24.0" customHeight="1">
      <c r="A27" s="175" t="s">
        <v>47</v>
      </c>
      <c r="B27" s="38"/>
      <c r="C27" s="38"/>
      <c r="D27" s="38"/>
      <c r="E27" s="38"/>
      <c r="F27" s="38"/>
      <c r="G27" s="39"/>
    </row>
    <row r="28" ht="21.75" customHeight="1">
      <c r="B28" s="176" t="s">
        <v>521</v>
      </c>
      <c r="C28" s="177"/>
      <c r="D28" s="177"/>
      <c r="E28" s="177"/>
      <c r="F28" s="178"/>
    </row>
    <row r="29" ht="21.75" customHeight="1">
      <c r="B29" s="179"/>
      <c r="F29" s="129"/>
    </row>
    <row r="30" ht="21.75" customHeight="1">
      <c r="B30" s="180"/>
      <c r="C30" s="162"/>
      <c r="D30" s="162"/>
      <c r="E30" s="162"/>
      <c r="F30" s="46"/>
    </row>
    <row r="31" ht="7.5" customHeight="1">
      <c r="A31" s="163"/>
      <c r="B31" s="38"/>
      <c r="C31" s="38"/>
      <c r="D31" s="38"/>
      <c r="E31" s="38"/>
      <c r="F31" s="38"/>
      <c r="G31" s="39"/>
    </row>
    <row r="32" ht="19.5" customHeight="1">
      <c r="A32" s="181"/>
      <c r="B32" s="182" t="s">
        <v>496</v>
      </c>
      <c r="C32" s="39"/>
      <c r="D32" s="183" t="s">
        <v>497</v>
      </c>
      <c r="E32" s="184" t="s">
        <v>498</v>
      </c>
      <c r="F32" s="39"/>
      <c r="G32" s="18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3.5" customHeight="1">
      <c r="A1" s="156" t="s">
        <v>454</v>
      </c>
      <c r="B1" s="38"/>
      <c r="C1" s="38"/>
      <c r="D1" s="38"/>
      <c r="E1" s="38"/>
      <c r="F1" s="38"/>
      <c r="G1" s="39"/>
    </row>
    <row r="2" ht="25.5" customHeight="1">
      <c r="A2" s="157" t="s">
        <v>522</v>
      </c>
      <c r="B2" s="38"/>
      <c r="C2" s="38"/>
      <c r="D2" s="38"/>
      <c r="E2" s="38"/>
      <c r="F2" s="38"/>
      <c r="G2" s="39"/>
    </row>
    <row r="3" ht="21.75" customHeight="1">
      <c r="A3" s="186" t="s">
        <v>523</v>
      </c>
      <c r="B3" s="159"/>
      <c r="C3" s="43"/>
      <c r="D3" s="160" t="s">
        <v>524</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164" t="s">
        <v>4</v>
      </c>
      <c r="B9" s="38"/>
      <c r="C9" s="38"/>
      <c r="D9" s="38"/>
      <c r="E9" s="38"/>
      <c r="F9" s="38"/>
      <c r="G9" s="39"/>
    </row>
    <row r="10" ht="27.75" customHeight="1">
      <c r="B10" s="165" t="s">
        <v>5</v>
      </c>
      <c r="C10" s="166" t="s">
        <v>52</v>
      </c>
      <c r="D10" s="167"/>
      <c r="E10" s="165" t="s">
        <v>7</v>
      </c>
      <c r="F10" s="166" t="s">
        <v>525</v>
      </c>
    </row>
    <row r="11" ht="27.75" customHeight="1">
      <c r="B11" s="168" t="s">
        <v>459</v>
      </c>
      <c r="C11" s="169" t="s">
        <v>460</v>
      </c>
      <c r="D11" s="167"/>
      <c r="E11" s="168" t="s">
        <v>461</v>
      </c>
      <c r="F11" s="169" t="s">
        <v>462</v>
      </c>
    </row>
    <row r="12" ht="27.75" customHeight="1">
      <c r="B12" s="165" t="s">
        <v>463</v>
      </c>
      <c r="C12" s="166" t="s">
        <v>526</v>
      </c>
      <c r="D12" s="167"/>
      <c r="E12" s="165" t="s">
        <v>465</v>
      </c>
      <c r="F12" s="166" t="s">
        <v>527</v>
      </c>
    </row>
    <row r="13" ht="27.75" customHeight="1">
      <c r="B13" s="168" t="s">
        <v>467</v>
      </c>
      <c r="C13" s="169" t="s">
        <v>528</v>
      </c>
      <c r="D13" s="167"/>
      <c r="E13" s="168" t="s">
        <v>469</v>
      </c>
      <c r="F13" s="169" t="s">
        <v>529</v>
      </c>
    </row>
    <row r="14" ht="33.75" customHeight="1">
      <c r="B14" s="165" t="s">
        <v>471</v>
      </c>
      <c r="C14" s="166" t="s">
        <v>530</v>
      </c>
      <c r="D14" s="167"/>
      <c r="E14" s="165" t="s">
        <v>473</v>
      </c>
      <c r="F14" s="166" t="s">
        <v>531</v>
      </c>
    </row>
    <row r="15" ht="27.75" customHeight="1">
      <c r="B15" s="168" t="s">
        <v>475</v>
      </c>
      <c r="C15" s="169" t="s">
        <v>192</v>
      </c>
      <c r="D15" s="167"/>
      <c r="E15" s="168" t="s">
        <v>476</v>
      </c>
      <c r="F15" s="169" t="s">
        <v>477</v>
      </c>
    </row>
    <row r="16" ht="27.75" customHeight="1">
      <c r="B16" s="165" t="s">
        <v>478</v>
      </c>
      <c r="C16" s="166" t="s">
        <v>532</v>
      </c>
      <c r="D16" s="167"/>
      <c r="E16" s="165" t="s">
        <v>480</v>
      </c>
      <c r="F16" s="166" t="s">
        <v>481</v>
      </c>
    </row>
    <row r="17" ht="27.75" customHeight="1">
      <c r="B17" s="168" t="s">
        <v>482</v>
      </c>
      <c r="C17" s="169" t="s">
        <v>483</v>
      </c>
      <c r="D17" s="167"/>
      <c r="E17" s="168" t="s">
        <v>484</v>
      </c>
      <c r="F17" s="169" t="s">
        <v>533</v>
      </c>
    </row>
    <row r="18" ht="27.75" customHeight="1">
      <c r="B18" s="165" t="s">
        <v>486</v>
      </c>
      <c r="C18" s="166" t="s">
        <v>534</v>
      </c>
      <c r="D18" s="167"/>
      <c r="E18" s="165" t="s">
        <v>488</v>
      </c>
      <c r="F18" s="166" t="s">
        <v>535</v>
      </c>
    </row>
    <row r="19" ht="33.75" customHeight="1">
      <c r="B19" s="168" t="s">
        <v>490</v>
      </c>
      <c r="C19" s="169" t="s">
        <v>491</v>
      </c>
      <c r="D19" s="167"/>
      <c r="E19" s="168" t="s">
        <v>492</v>
      </c>
      <c r="F19" s="169" t="s">
        <v>493</v>
      </c>
    </row>
    <row r="20" ht="6.0" customHeight="1">
      <c r="A20" s="163"/>
      <c r="B20" s="38"/>
      <c r="C20" s="38"/>
      <c r="D20" s="38"/>
      <c r="E20" s="38"/>
      <c r="F20" s="38"/>
      <c r="G20" s="39"/>
    </row>
    <row r="21" ht="24.0" customHeight="1">
      <c r="A21" s="164" t="s">
        <v>45</v>
      </c>
      <c r="B21" s="38"/>
      <c r="C21" s="38"/>
      <c r="D21" s="38"/>
      <c r="E21" s="38"/>
      <c r="F21" s="38"/>
      <c r="G21" s="39"/>
    </row>
    <row r="22" ht="18.0" customHeight="1">
      <c r="B22" s="170" t="s">
        <v>536</v>
      </c>
      <c r="C22" s="171"/>
      <c r="D22" s="171"/>
      <c r="E22" s="171"/>
      <c r="F22" s="172"/>
    </row>
    <row r="23" ht="18.0" customHeight="1">
      <c r="B23" s="173"/>
      <c r="F23" s="129"/>
    </row>
    <row r="24" ht="18.0" customHeight="1">
      <c r="B24" s="173"/>
      <c r="F24" s="129"/>
    </row>
    <row r="25" ht="18.0" customHeight="1">
      <c r="B25" s="174"/>
      <c r="C25" s="162"/>
      <c r="D25" s="162"/>
      <c r="E25" s="162"/>
      <c r="F25" s="46"/>
    </row>
    <row r="26" ht="6.0" customHeight="1">
      <c r="A26" s="163"/>
      <c r="B26" s="38"/>
      <c r="C26" s="38"/>
      <c r="D26" s="38"/>
      <c r="E26" s="38"/>
      <c r="F26" s="38"/>
      <c r="G26" s="39"/>
    </row>
    <row r="27" ht="24.0" customHeight="1">
      <c r="A27" s="175" t="s">
        <v>47</v>
      </c>
      <c r="B27" s="38"/>
      <c r="C27" s="38"/>
      <c r="D27" s="38"/>
      <c r="E27" s="38"/>
      <c r="F27" s="38"/>
      <c r="G27" s="39"/>
    </row>
    <row r="28" ht="21.75" customHeight="1">
      <c r="B28" s="176" t="s">
        <v>537</v>
      </c>
      <c r="C28" s="177"/>
      <c r="D28" s="177"/>
      <c r="E28" s="177"/>
      <c r="F28" s="178"/>
    </row>
    <row r="29" ht="21.75" customHeight="1">
      <c r="B29" s="179"/>
      <c r="F29" s="129"/>
    </row>
    <row r="30" ht="21.75" customHeight="1">
      <c r="B30" s="180"/>
      <c r="C30" s="162"/>
      <c r="D30" s="162"/>
      <c r="E30" s="162"/>
      <c r="F30" s="46"/>
    </row>
    <row r="31" ht="7.5" customHeight="1">
      <c r="A31" s="163"/>
      <c r="B31" s="38"/>
      <c r="C31" s="38"/>
      <c r="D31" s="38"/>
      <c r="E31" s="38"/>
      <c r="F31" s="38"/>
      <c r="G31" s="39"/>
    </row>
    <row r="32" ht="19.5" customHeight="1">
      <c r="A32" s="181"/>
      <c r="B32" s="182" t="s">
        <v>496</v>
      </c>
      <c r="C32" s="39"/>
      <c r="D32" s="183" t="s">
        <v>497</v>
      </c>
      <c r="E32" s="184" t="s">
        <v>498</v>
      </c>
      <c r="F32" s="39"/>
      <c r="G32" s="18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4.43" defaultRowHeight="15.0"/>
  <cols>
    <col customWidth="1" min="1" max="1" width="1.57"/>
    <col customWidth="1" min="2" max="2" width="27.0"/>
    <col customWidth="1" min="3" max="5" width="23.0"/>
    <col customWidth="1" min="6" max="6" width="1.57"/>
    <col customWidth="1" min="7" max="26" width="8.71"/>
  </cols>
  <sheetData>
    <row r="1" ht="43.5" customHeight="1">
      <c r="A1" s="187" t="s">
        <v>538</v>
      </c>
      <c r="B1" s="38"/>
      <c r="C1" s="38"/>
      <c r="D1" s="38"/>
      <c r="E1" s="38"/>
      <c r="F1" s="39"/>
    </row>
    <row r="2" ht="21.75" customHeight="1">
      <c r="A2" s="188" t="s">
        <v>539</v>
      </c>
      <c r="B2" s="38"/>
      <c r="C2" s="38"/>
      <c r="D2" s="38"/>
      <c r="E2" s="38"/>
      <c r="F2" s="39"/>
    </row>
    <row r="3" ht="6.0" customHeight="1">
      <c r="A3" s="163"/>
      <c r="B3" s="38"/>
      <c r="C3" s="38"/>
      <c r="D3" s="38"/>
      <c r="E3" s="38"/>
      <c r="F3" s="39"/>
    </row>
    <row r="4" ht="27.75" customHeight="1">
      <c r="B4" s="189" t="s">
        <v>540</v>
      </c>
      <c r="C4" s="189" t="s">
        <v>541</v>
      </c>
      <c r="D4" s="189" t="s">
        <v>542</v>
      </c>
      <c r="E4" s="189" t="s">
        <v>543</v>
      </c>
    </row>
    <row r="5" ht="21.75" customHeight="1">
      <c r="B5" s="190" t="s">
        <v>544</v>
      </c>
      <c r="C5" s="191" t="s">
        <v>6</v>
      </c>
      <c r="D5" s="191" t="s">
        <v>502</v>
      </c>
      <c r="E5" s="191" t="s">
        <v>52</v>
      </c>
    </row>
    <row r="6" ht="31.5" customHeight="1">
      <c r="B6" s="165" t="s">
        <v>459</v>
      </c>
      <c r="C6" s="192" t="s">
        <v>545</v>
      </c>
      <c r="D6" s="192" t="s">
        <v>545</v>
      </c>
      <c r="E6" s="192" t="s">
        <v>545</v>
      </c>
    </row>
    <row r="7" ht="31.5" customHeight="1">
      <c r="B7" s="168" t="s">
        <v>546</v>
      </c>
      <c r="C7" s="193" t="s">
        <v>547</v>
      </c>
      <c r="D7" s="194" t="s">
        <v>548</v>
      </c>
      <c r="E7" s="193" t="s">
        <v>549</v>
      </c>
    </row>
    <row r="8" ht="48.0" customHeight="1">
      <c r="B8" s="165" t="s">
        <v>550</v>
      </c>
      <c r="C8" s="195" t="s">
        <v>551</v>
      </c>
      <c r="D8" s="196" t="s">
        <v>552</v>
      </c>
      <c r="E8" s="195" t="s">
        <v>551</v>
      </c>
    </row>
    <row r="9" ht="31.5" customHeight="1">
      <c r="B9" s="168" t="s">
        <v>553</v>
      </c>
      <c r="C9" s="197" t="s">
        <v>554</v>
      </c>
      <c r="D9" s="197" t="s">
        <v>555</v>
      </c>
      <c r="E9" s="197" t="s">
        <v>554</v>
      </c>
    </row>
    <row r="10" ht="31.5" customHeight="1">
      <c r="B10" s="165" t="s">
        <v>556</v>
      </c>
      <c r="C10" s="192" t="s">
        <v>557</v>
      </c>
      <c r="D10" s="195" t="s">
        <v>558</v>
      </c>
      <c r="E10" s="192" t="s">
        <v>559</v>
      </c>
    </row>
    <row r="11" ht="31.5" customHeight="1">
      <c r="B11" s="168" t="s">
        <v>560</v>
      </c>
      <c r="C11" s="195" t="s">
        <v>561</v>
      </c>
      <c r="D11" s="196" t="s">
        <v>562</v>
      </c>
      <c r="E11" s="197" t="s">
        <v>563</v>
      </c>
    </row>
    <row r="12" ht="31.5" customHeight="1">
      <c r="B12" s="165" t="s">
        <v>564</v>
      </c>
      <c r="C12" s="196" t="s">
        <v>565</v>
      </c>
      <c r="D12" s="196" t="s">
        <v>566</v>
      </c>
      <c r="E12" s="192" t="s">
        <v>567</v>
      </c>
    </row>
    <row r="13" ht="31.5" customHeight="1">
      <c r="B13" s="168" t="s">
        <v>465</v>
      </c>
      <c r="C13" s="197" t="s">
        <v>568</v>
      </c>
      <c r="D13" s="195" t="s">
        <v>569</v>
      </c>
      <c r="E13" s="197" t="s">
        <v>570</v>
      </c>
    </row>
    <row r="14" ht="31.5" customHeight="1">
      <c r="B14" s="165" t="s">
        <v>571</v>
      </c>
      <c r="C14" s="195" t="s">
        <v>572</v>
      </c>
      <c r="D14" s="196" t="s">
        <v>573</v>
      </c>
      <c r="E14" s="192" t="s">
        <v>574</v>
      </c>
    </row>
    <row r="15" ht="48.0" customHeight="1">
      <c r="B15" s="168" t="s">
        <v>471</v>
      </c>
      <c r="C15" s="197" t="s">
        <v>575</v>
      </c>
      <c r="D15" s="197" t="s">
        <v>576</v>
      </c>
      <c r="E15" s="197" t="s">
        <v>577</v>
      </c>
    </row>
    <row r="16" ht="48.0" customHeight="1">
      <c r="B16" s="165" t="s">
        <v>578</v>
      </c>
      <c r="C16" s="192" t="s">
        <v>579</v>
      </c>
      <c r="D16" s="192" t="s">
        <v>580</v>
      </c>
      <c r="E16" s="192" t="s">
        <v>581</v>
      </c>
    </row>
    <row r="17" ht="48.0" customHeight="1">
      <c r="B17" s="168" t="s">
        <v>582</v>
      </c>
      <c r="C17" s="197" t="s">
        <v>583</v>
      </c>
      <c r="D17" s="197" t="s">
        <v>584</v>
      </c>
      <c r="E17" s="197" t="s">
        <v>585</v>
      </c>
    </row>
    <row r="18" ht="48.0" customHeight="1">
      <c r="B18" s="165" t="s">
        <v>586</v>
      </c>
      <c r="C18" s="192" t="s">
        <v>587</v>
      </c>
      <c r="D18" s="192" t="s">
        <v>588</v>
      </c>
      <c r="E18" s="196" t="s">
        <v>589</v>
      </c>
    </row>
    <row r="19" ht="31.5" customHeight="1">
      <c r="B19" s="168" t="s">
        <v>590</v>
      </c>
      <c r="C19" s="197" t="s">
        <v>591</v>
      </c>
      <c r="D19" s="195" t="s">
        <v>592</v>
      </c>
      <c r="E19" s="195" t="s">
        <v>593</v>
      </c>
    </row>
    <row r="20" ht="31.5" customHeight="1">
      <c r="B20" s="165" t="s">
        <v>594</v>
      </c>
      <c r="C20" s="192" t="s">
        <v>595</v>
      </c>
      <c r="D20" s="196" t="s">
        <v>596</v>
      </c>
      <c r="E20" s="196" t="s">
        <v>596</v>
      </c>
    </row>
    <row r="21" ht="31.5" customHeight="1">
      <c r="B21" s="168" t="s">
        <v>597</v>
      </c>
      <c r="C21" s="193" t="s">
        <v>598</v>
      </c>
      <c r="D21" s="194" t="s">
        <v>599</v>
      </c>
      <c r="E21" s="193" t="s">
        <v>598</v>
      </c>
    </row>
    <row r="22" ht="7.5" customHeight="1">
      <c r="A22" s="163"/>
      <c r="B22" s="38"/>
      <c r="C22" s="38"/>
      <c r="D22" s="38"/>
      <c r="E22" s="38"/>
      <c r="F22" s="39"/>
    </row>
    <row r="23" ht="30.0" customHeight="1">
      <c r="A23" s="198" t="s">
        <v>600</v>
      </c>
      <c r="B23" s="38"/>
      <c r="C23" s="38"/>
      <c r="D23" s="38"/>
      <c r="E23" s="38"/>
      <c r="F23" s="39"/>
    </row>
    <row r="24" ht="36.0" customHeight="1">
      <c r="B24" s="199" t="s">
        <v>601</v>
      </c>
      <c r="C24" s="38"/>
      <c r="D24" s="38"/>
      <c r="E24" s="39"/>
    </row>
    <row r="25" ht="115.5" customHeight="1">
      <c r="B25" s="165" t="s">
        <v>602</v>
      </c>
      <c r="C25" s="200" t="s">
        <v>603</v>
      </c>
      <c r="D25" s="201"/>
      <c r="E25" s="202"/>
    </row>
    <row r="26" ht="115.5" customHeight="1">
      <c r="B26" s="168" t="s">
        <v>604</v>
      </c>
      <c r="C26" s="203" t="s">
        <v>605</v>
      </c>
      <c r="D26" s="201"/>
      <c r="E26" s="202"/>
    </row>
    <row r="27" ht="115.5" customHeight="1">
      <c r="B27" s="165" t="s">
        <v>606</v>
      </c>
      <c r="C27" s="200" t="s">
        <v>607</v>
      </c>
      <c r="D27" s="201"/>
      <c r="E27" s="202"/>
    </row>
    <row r="28" ht="115.5" customHeight="1">
      <c r="B28" s="168" t="s">
        <v>608</v>
      </c>
      <c r="C28" s="203" t="s">
        <v>609</v>
      </c>
      <c r="D28" s="201"/>
      <c r="E28" s="202"/>
    </row>
    <row r="29" ht="115.5" customHeight="1">
      <c r="B29" s="165" t="s">
        <v>610</v>
      </c>
      <c r="C29" s="200" t="s">
        <v>611</v>
      </c>
      <c r="D29" s="201"/>
      <c r="E29" s="202"/>
    </row>
    <row r="30" ht="7.5" customHeight="1">
      <c r="A30" s="163"/>
      <c r="B30" s="38"/>
      <c r="C30" s="38"/>
      <c r="D30" s="38"/>
      <c r="E30" s="38"/>
      <c r="F30" s="39"/>
    </row>
    <row r="31" ht="19.5" customHeight="1">
      <c r="A31" s="181"/>
      <c r="B31" s="182" t="s">
        <v>496</v>
      </c>
      <c r="C31" s="39"/>
      <c r="D31" s="183" t="s">
        <v>497</v>
      </c>
      <c r="E31" s="184" t="s">
        <v>498</v>
      </c>
      <c r="F31" s="3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26:E26"/>
    <mergeCell ref="C27:E27"/>
    <mergeCell ref="C28:E28"/>
    <mergeCell ref="C29:E29"/>
    <mergeCell ref="A30:F30"/>
    <mergeCell ref="B31:C31"/>
    <mergeCell ref="E31:F31"/>
    <mergeCell ref="A1:F1"/>
    <mergeCell ref="A2:F2"/>
    <mergeCell ref="A3:F3"/>
    <mergeCell ref="A22:F22"/>
    <mergeCell ref="A23:F23"/>
    <mergeCell ref="B24:E24"/>
    <mergeCell ref="C25:E25"/>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6.0" customHeight="1">
      <c r="B2" s="204" t="s">
        <v>612</v>
      </c>
      <c r="C2" s="205"/>
      <c r="D2" s="205"/>
      <c r="E2" s="205"/>
      <c r="F2" s="206"/>
    </row>
    <row r="3" ht="21.75" customHeight="1">
      <c r="B3" s="207" t="s">
        <v>613</v>
      </c>
      <c r="C3" s="205"/>
      <c r="D3" s="205"/>
      <c r="E3" s="205"/>
      <c r="F3" s="206"/>
    </row>
    <row r="4" ht="19.5" customHeight="1">
      <c r="B4" s="208" t="s">
        <v>614</v>
      </c>
      <c r="C4" s="209"/>
      <c r="D4" s="210" t="s">
        <v>170</v>
      </c>
      <c r="E4" s="211"/>
      <c r="F4" s="209"/>
    </row>
    <row r="5" ht="19.5" customHeight="1">
      <c r="B5" s="212"/>
      <c r="C5" s="129"/>
      <c r="D5" s="213"/>
      <c r="E5" s="162"/>
      <c r="F5" s="46"/>
    </row>
    <row r="6" ht="19.5" customHeight="1">
      <c r="B6" s="212"/>
      <c r="C6" s="129"/>
      <c r="D6" s="214" t="s">
        <v>615</v>
      </c>
      <c r="E6" s="211"/>
      <c r="F6" s="209"/>
    </row>
    <row r="7" ht="19.5" customHeight="1">
      <c r="B7" s="212"/>
      <c r="C7" s="129"/>
      <c r="D7" s="212"/>
      <c r="F7" s="129"/>
    </row>
    <row r="8" ht="19.5" customHeight="1">
      <c r="B8" s="213"/>
      <c r="C8" s="46"/>
      <c r="D8" s="213"/>
      <c r="E8" s="162"/>
      <c r="F8" s="46"/>
    </row>
    <row r="10" ht="21.75" customHeight="1">
      <c r="B10" s="215" t="s">
        <v>4</v>
      </c>
      <c r="C10" s="205"/>
      <c r="D10" s="205"/>
      <c r="E10" s="205"/>
      <c r="F10" s="206"/>
    </row>
    <row r="11" ht="16.5" customHeight="1">
      <c r="B11" s="216" t="s">
        <v>5</v>
      </c>
      <c r="C11" s="217" t="s">
        <v>502</v>
      </c>
      <c r="E11" s="216" t="s">
        <v>25</v>
      </c>
      <c r="F11" s="217" t="s">
        <v>616</v>
      </c>
    </row>
    <row r="12" ht="16.5" customHeight="1">
      <c r="B12" s="218" t="s">
        <v>7</v>
      </c>
      <c r="C12" s="219" t="s">
        <v>617</v>
      </c>
      <c r="E12" s="218" t="s">
        <v>27</v>
      </c>
      <c r="F12" s="219" t="s">
        <v>618</v>
      </c>
    </row>
    <row r="13" ht="16.5" customHeight="1">
      <c r="B13" s="216" t="s">
        <v>619</v>
      </c>
      <c r="C13" s="217" t="s">
        <v>620</v>
      </c>
      <c r="E13" s="216" t="s">
        <v>29</v>
      </c>
      <c r="F13" s="217" t="s">
        <v>192</v>
      </c>
    </row>
    <row r="14" ht="16.5" customHeight="1">
      <c r="B14" s="218" t="s">
        <v>11</v>
      </c>
      <c r="C14" s="219" t="s">
        <v>621</v>
      </c>
      <c r="E14" s="218" t="s">
        <v>31</v>
      </c>
      <c r="F14" s="219" t="s">
        <v>622</v>
      </c>
    </row>
    <row r="15" ht="16.5" customHeight="1">
      <c r="B15" s="216" t="s">
        <v>13</v>
      </c>
      <c r="C15" s="217" t="s">
        <v>623</v>
      </c>
      <c r="E15" s="216" t="s">
        <v>33</v>
      </c>
      <c r="F15" s="217" t="s">
        <v>624</v>
      </c>
    </row>
    <row r="16" ht="16.5" customHeight="1">
      <c r="B16" s="218" t="s">
        <v>15</v>
      </c>
      <c r="C16" s="219" t="s">
        <v>16</v>
      </c>
      <c r="E16" s="218" t="s">
        <v>37</v>
      </c>
      <c r="F16" s="219" t="s">
        <v>625</v>
      </c>
    </row>
    <row r="17" ht="16.5" customHeight="1">
      <c r="B17" s="216" t="s">
        <v>179</v>
      </c>
      <c r="C17" s="217" t="s">
        <v>180</v>
      </c>
      <c r="E17" s="216" t="s">
        <v>35</v>
      </c>
      <c r="F17" s="217" t="s">
        <v>626</v>
      </c>
    </row>
    <row r="18" ht="16.5" customHeight="1">
      <c r="B18" s="218" t="s">
        <v>19</v>
      </c>
      <c r="C18" s="219" t="s">
        <v>627</v>
      </c>
      <c r="E18" s="218" t="s">
        <v>39</v>
      </c>
      <c r="F18" s="219" t="s">
        <v>628</v>
      </c>
    </row>
    <row r="19" ht="16.5" customHeight="1">
      <c r="B19" s="216" t="s">
        <v>21</v>
      </c>
      <c r="C19" s="217" t="s">
        <v>629</v>
      </c>
      <c r="E19" s="216" t="s">
        <v>43</v>
      </c>
      <c r="F19" s="217" t="s">
        <v>630</v>
      </c>
    </row>
    <row r="20" ht="16.5" customHeight="1">
      <c r="B20" s="218" t="s">
        <v>23</v>
      </c>
      <c r="C20" s="219" t="s">
        <v>631</v>
      </c>
      <c r="E20" s="218" t="s">
        <v>41</v>
      </c>
      <c r="F20" s="219" t="s">
        <v>632</v>
      </c>
    </row>
    <row r="21" ht="15.75" customHeight="1"/>
    <row r="22" ht="21.75" customHeight="1">
      <c r="B22" s="215" t="s">
        <v>45</v>
      </c>
      <c r="C22" s="205"/>
      <c r="D22" s="205"/>
      <c r="E22" s="205"/>
      <c r="F22" s="206"/>
    </row>
    <row r="23" ht="60.0" customHeight="1">
      <c r="B23" s="220" t="s">
        <v>633</v>
      </c>
      <c r="C23" s="205"/>
      <c r="D23" s="205"/>
      <c r="E23" s="205"/>
      <c r="F23" s="206"/>
    </row>
    <row r="24" ht="15.75" customHeight="1"/>
    <row r="25" ht="21.75" customHeight="1">
      <c r="B25" s="215" t="s">
        <v>47</v>
      </c>
      <c r="C25" s="205"/>
      <c r="D25" s="205"/>
      <c r="E25" s="205"/>
      <c r="F25" s="206"/>
    </row>
    <row r="26" ht="51.75" customHeight="1">
      <c r="B26" s="221" t="s">
        <v>634</v>
      </c>
      <c r="C26" s="205"/>
      <c r="D26" s="205"/>
      <c r="E26" s="205"/>
      <c r="F26" s="206"/>
    </row>
    <row r="27" ht="15.75" customHeight="1"/>
    <row r="28" ht="18.0" customHeight="1">
      <c r="B28" s="222" t="s">
        <v>635</v>
      </c>
      <c r="C28" s="38"/>
      <c r="D28" s="39"/>
      <c r="E28" s="223" t="s">
        <v>636</v>
      </c>
      <c r="F28" s="224"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6.0" customHeight="1">
      <c r="B2" s="204" t="s">
        <v>612</v>
      </c>
      <c r="C2" s="205"/>
      <c r="D2" s="205"/>
      <c r="E2" s="205"/>
      <c r="F2" s="206"/>
    </row>
    <row r="3" ht="21.75" customHeight="1">
      <c r="B3" s="207" t="s">
        <v>638</v>
      </c>
      <c r="C3" s="205"/>
      <c r="D3" s="205"/>
      <c r="E3" s="205"/>
      <c r="F3" s="206"/>
    </row>
    <row r="4" ht="19.5" customHeight="1">
      <c r="B4" s="225" t="s">
        <v>639</v>
      </c>
      <c r="C4" s="209"/>
      <c r="D4" s="210" t="s">
        <v>170</v>
      </c>
      <c r="E4" s="211"/>
      <c r="F4" s="209"/>
    </row>
    <row r="5" ht="19.5" customHeight="1">
      <c r="B5" s="212"/>
      <c r="C5" s="129"/>
      <c r="D5" s="213"/>
      <c r="E5" s="162"/>
      <c r="F5" s="46"/>
    </row>
    <row r="6" ht="19.5" customHeight="1">
      <c r="B6" s="212"/>
      <c r="C6" s="129"/>
      <c r="D6" s="214" t="s">
        <v>640</v>
      </c>
      <c r="E6" s="211"/>
      <c r="F6" s="209"/>
    </row>
    <row r="7" ht="19.5" customHeight="1">
      <c r="B7" s="212"/>
      <c r="C7" s="129"/>
      <c r="D7" s="212"/>
      <c r="F7" s="129"/>
    </row>
    <row r="8" ht="19.5" customHeight="1">
      <c r="B8" s="213"/>
      <c r="C8" s="46"/>
      <c r="D8" s="213"/>
      <c r="E8" s="162"/>
      <c r="F8" s="46"/>
    </row>
    <row r="10" ht="21.75" customHeight="1">
      <c r="B10" s="215" t="s">
        <v>4</v>
      </c>
      <c r="C10" s="205"/>
      <c r="D10" s="205"/>
      <c r="E10" s="205"/>
      <c r="F10" s="206"/>
    </row>
    <row r="11" ht="16.5" customHeight="1">
      <c r="B11" s="216" t="s">
        <v>5</v>
      </c>
      <c r="C11" s="217" t="s">
        <v>6</v>
      </c>
      <c r="E11" s="216" t="s">
        <v>25</v>
      </c>
      <c r="F11" s="217" t="s">
        <v>641</v>
      </c>
    </row>
    <row r="12" ht="16.5" customHeight="1">
      <c r="B12" s="218" t="s">
        <v>7</v>
      </c>
      <c r="C12" s="219" t="s">
        <v>642</v>
      </c>
      <c r="E12" s="218" t="s">
        <v>27</v>
      </c>
      <c r="F12" s="219" t="s">
        <v>28</v>
      </c>
    </row>
    <row r="13" ht="16.5" customHeight="1">
      <c r="B13" s="216" t="s">
        <v>619</v>
      </c>
      <c r="C13" s="217" t="s">
        <v>643</v>
      </c>
      <c r="E13" s="216" t="s">
        <v>29</v>
      </c>
      <c r="F13" s="217" t="s">
        <v>30</v>
      </c>
    </row>
    <row r="14" ht="16.5" customHeight="1">
      <c r="B14" s="218" t="s">
        <v>11</v>
      </c>
      <c r="C14" s="219" t="s">
        <v>644</v>
      </c>
      <c r="E14" s="218" t="s">
        <v>31</v>
      </c>
      <c r="F14" s="219" t="s">
        <v>477</v>
      </c>
    </row>
    <row r="15" ht="16.5" customHeight="1">
      <c r="B15" s="216" t="s">
        <v>13</v>
      </c>
      <c r="C15" s="217" t="s">
        <v>645</v>
      </c>
      <c r="E15" s="216" t="s">
        <v>33</v>
      </c>
      <c r="F15" s="217" t="s">
        <v>646</v>
      </c>
    </row>
    <row r="16" ht="16.5" customHeight="1">
      <c r="B16" s="218" t="s">
        <v>15</v>
      </c>
      <c r="C16" s="219" t="s">
        <v>16</v>
      </c>
      <c r="E16" s="218" t="s">
        <v>37</v>
      </c>
      <c r="F16" s="219" t="s">
        <v>647</v>
      </c>
    </row>
    <row r="17" ht="16.5" customHeight="1">
      <c r="B17" s="216" t="s">
        <v>179</v>
      </c>
      <c r="C17" s="217" t="s">
        <v>648</v>
      </c>
      <c r="E17" s="216" t="s">
        <v>35</v>
      </c>
      <c r="F17" s="217" t="s">
        <v>36</v>
      </c>
    </row>
    <row r="18" ht="16.5" customHeight="1">
      <c r="B18" s="218" t="s">
        <v>19</v>
      </c>
      <c r="C18" s="219" t="s">
        <v>649</v>
      </c>
      <c r="E18" s="218" t="s">
        <v>39</v>
      </c>
      <c r="F18" s="219" t="s">
        <v>628</v>
      </c>
    </row>
    <row r="19" ht="16.5" customHeight="1">
      <c r="B19" s="216" t="s">
        <v>21</v>
      </c>
      <c r="C19" s="217" t="s">
        <v>650</v>
      </c>
      <c r="E19" s="216" t="s">
        <v>43</v>
      </c>
      <c r="F19" s="217" t="s">
        <v>651</v>
      </c>
    </row>
    <row r="20" ht="16.5" customHeight="1">
      <c r="B20" s="218" t="s">
        <v>23</v>
      </c>
      <c r="C20" s="219" t="s">
        <v>652</v>
      </c>
      <c r="E20" s="218" t="s">
        <v>41</v>
      </c>
      <c r="F20" s="219" t="s">
        <v>653</v>
      </c>
    </row>
    <row r="21" ht="15.75" customHeight="1"/>
    <row r="22" ht="21.75" customHeight="1">
      <c r="B22" s="215" t="s">
        <v>45</v>
      </c>
      <c r="C22" s="205"/>
      <c r="D22" s="205"/>
      <c r="E22" s="205"/>
      <c r="F22" s="206"/>
    </row>
    <row r="23" ht="60.0" customHeight="1">
      <c r="B23" s="220" t="s">
        <v>654</v>
      </c>
      <c r="C23" s="205"/>
      <c r="D23" s="205"/>
      <c r="E23" s="205"/>
      <c r="F23" s="206"/>
    </row>
    <row r="24" ht="15.75" customHeight="1"/>
    <row r="25" ht="21.75" customHeight="1">
      <c r="B25" s="215" t="s">
        <v>47</v>
      </c>
      <c r="C25" s="205"/>
      <c r="D25" s="205"/>
      <c r="E25" s="205"/>
      <c r="F25" s="206"/>
    </row>
    <row r="26" ht="51.75" customHeight="1">
      <c r="B26" s="221" t="s">
        <v>655</v>
      </c>
      <c r="C26" s="205"/>
      <c r="D26" s="205"/>
      <c r="E26" s="205"/>
      <c r="F26" s="206"/>
    </row>
    <row r="27" ht="15.75" customHeight="1"/>
    <row r="28" ht="18.0" customHeight="1">
      <c r="B28" s="222" t="s">
        <v>635</v>
      </c>
      <c r="C28" s="38"/>
      <c r="D28" s="39"/>
      <c r="E28" s="223" t="s">
        <v>636</v>
      </c>
      <c r="F28" s="224"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6.0" customHeight="1">
      <c r="B2" s="204" t="s">
        <v>612</v>
      </c>
      <c r="C2" s="205"/>
      <c r="D2" s="205"/>
      <c r="E2" s="205"/>
      <c r="F2" s="206"/>
    </row>
    <row r="3" ht="21.75" customHeight="1">
      <c r="B3" s="207" t="s">
        <v>656</v>
      </c>
      <c r="C3" s="205"/>
      <c r="D3" s="205"/>
      <c r="E3" s="205"/>
      <c r="F3" s="206"/>
    </row>
    <row r="4" ht="19.5" customHeight="1">
      <c r="B4" s="226" t="s">
        <v>657</v>
      </c>
      <c r="C4" s="209"/>
      <c r="D4" s="210" t="s">
        <v>170</v>
      </c>
      <c r="E4" s="211"/>
      <c r="F4" s="209"/>
    </row>
    <row r="5" ht="19.5" customHeight="1">
      <c r="B5" s="212"/>
      <c r="C5" s="129"/>
      <c r="D5" s="213"/>
      <c r="E5" s="162"/>
      <c r="F5" s="46"/>
    </row>
    <row r="6" ht="19.5" customHeight="1">
      <c r="B6" s="212"/>
      <c r="C6" s="129"/>
      <c r="D6" s="214" t="s">
        <v>658</v>
      </c>
      <c r="E6" s="211"/>
      <c r="F6" s="209"/>
    </row>
    <row r="7" ht="19.5" customHeight="1">
      <c r="B7" s="212"/>
      <c r="C7" s="129"/>
      <c r="D7" s="212"/>
      <c r="F7" s="129"/>
    </row>
    <row r="8" ht="19.5" customHeight="1">
      <c r="B8" s="213"/>
      <c r="C8" s="46"/>
      <c r="D8" s="213"/>
      <c r="E8" s="162"/>
      <c r="F8" s="46"/>
    </row>
    <row r="10" ht="21.75" customHeight="1">
      <c r="B10" s="215" t="s">
        <v>4</v>
      </c>
      <c r="C10" s="205"/>
      <c r="D10" s="205"/>
      <c r="E10" s="205"/>
      <c r="F10" s="206"/>
    </row>
    <row r="11" ht="16.5" customHeight="1">
      <c r="B11" s="216" t="s">
        <v>5</v>
      </c>
      <c r="C11" s="217" t="s">
        <v>52</v>
      </c>
      <c r="E11" s="216" t="s">
        <v>25</v>
      </c>
      <c r="F11" s="217" t="s">
        <v>58</v>
      </c>
    </row>
    <row r="12" ht="16.5" customHeight="1">
      <c r="B12" s="218" t="s">
        <v>7</v>
      </c>
      <c r="C12" s="219" t="s">
        <v>659</v>
      </c>
      <c r="E12" s="218" t="s">
        <v>27</v>
      </c>
      <c r="F12" s="219" t="s">
        <v>660</v>
      </c>
    </row>
    <row r="13" ht="16.5" customHeight="1">
      <c r="B13" s="216" t="s">
        <v>619</v>
      </c>
      <c r="C13" s="217" t="s">
        <v>661</v>
      </c>
      <c r="E13" s="216" t="s">
        <v>29</v>
      </c>
      <c r="F13" s="217" t="s">
        <v>227</v>
      </c>
    </row>
    <row r="14" ht="16.5" customHeight="1">
      <c r="B14" s="218" t="s">
        <v>11</v>
      </c>
      <c r="C14" s="219" t="s">
        <v>662</v>
      </c>
      <c r="E14" s="218" t="s">
        <v>31</v>
      </c>
      <c r="F14" s="219" t="s">
        <v>663</v>
      </c>
    </row>
    <row r="15" ht="16.5" customHeight="1">
      <c r="B15" s="216" t="s">
        <v>13</v>
      </c>
      <c r="C15" s="217" t="s">
        <v>664</v>
      </c>
      <c r="E15" s="216" t="s">
        <v>33</v>
      </c>
      <c r="F15" s="217" t="s">
        <v>665</v>
      </c>
    </row>
    <row r="16" ht="16.5" customHeight="1">
      <c r="B16" s="218" t="s">
        <v>15</v>
      </c>
      <c r="C16" s="219" t="s">
        <v>16</v>
      </c>
      <c r="E16" s="218" t="s">
        <v>37</v>
      </c>
      <c r="F16" s="219" t="s">
        <v>666</v>
      </c>
    </row>
    <row r="17" ht="16.5" customHeight="1">
      <c r="B17" s="216" t="s">
        <v>179</v>
      </c>
      <c r="C17" s="217" t="s">
        <v>667</v>
      </c>
      <c r="E17" s="216" t="s">
        <v>35</v>
      </c>
      <c r="F17" s="217" t="s">
        <v>668</v>
      </c>
    </row>
    <row r="18" ht="16.5" customHeight="1">
      <c r="B18" s="218" t="s">
        <v>19</v>
      </c>
      <c r="C18" s="219" t="s">
        <v>669</v>
      </c>
      <c r="E18" s="218" t="s">
        <v>39</v>
      </c>
      <c r="F18" s="219" t="s">
        <v>670</v>
      </c>
    </row>
    <row r="19" ht="16.5" customHeight="1">
      <c r="B19" s="216" t="s">
        <v>21</v>
      </c>
      <c r="C19" s="217" t="s">
        <v>671</v>
      </c>
      <c r="E19" s="216" t="s">
        <v>43</v>
      </c>
      <c r="F19" s="217" t="s">
        <v>672</v>
      </c>
    </row>
    <row r="20" ht="16.5" customHeight="1">
      <c r="B20" s="218" t="s">
        <v>23</v>
      </c>
      <c r="C20" s="219" t="s">
        <v>673</v>
      </c>
      <c r="E20" s="218" t="s">
        <v>41</v>
      </c>
      <c r="F20" s="219" t="s">
        <v>674</v>
      </c>
    </row>
    <row r="21" ht="15.75" customHeight="1"/>
    <row r="22" ht="21.75" customHeight="1">
      <c r="B22" s="215" t="s">
        <v>45</v>
      </c>
      <c r="C22" s="205"/>
      <c r="D22" s="205"/>
      <c r="E22" s="205"/>
      <c r="F22" s="206"/>
    </row>
    <row r="23" ht="60.0" customHeight="1">
      <c r="B23" s="220" t="s">
        <v>675</v>
      </c>
      <c r="C23" s="205"/>
      <c r="D23" s="205"/>
      <c r="E23" s="205"/>
      <c r="F23" s="206"/>
    </row>
    <row r="24" ht="15.75" customHeight="1"/>
    <row r="25" ht="21.75" customHeight="1">
      <c r="B25" s="215" t="s">
        <v>47</v>
      </c>
      <c r="C25" s="205"/>
      <c r="D25" s="205"/>
      <c r="E25" s="205"/>
      <c r="F25" s="206"/>
    </row>
    <row r="26" ht="51.75" customHeight="1">
      <c r="B26" s="221" t="s">
        <v>676</v>
      </c>
      <c r="C26" s="205"/>
      <c r="D26" s="205"/>
      <c r="E26" s="205"/>
      <c r="F26" s="206"/>
    </row>
    <row r="27" ht="15.75" customHeight="1"/>
    <row r="28" ht="18.0" customHeight="1">
      <c r="B28" s="222" t="s">
        <v>635</v>
      </c>
      <c r="C28" s="38"/>
      <c r="D28" s="39"/>
      <c r="E28" s="223" t="s">
        <v>636</v>
      </c>
      <c r="F28" s="224"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2.0"/>
    <col customWidth="1" min="3" max="5" width="22.0"/>
    <col customWidth="1" min="6" max="6" width="2.0"/>
    <col customWidth="1" min="7" max="26" width="8.71"/>
  </cols>
  <sheetData>
    <row r="1" ht="7.5" customHeight="1"/>
    <row r="2" ht="36.0" customHeight="1">
      <c r="B2" s="204" t="s">
        <v>677</v>
      </c>
      <c r="C2" s="205"/>
      <c r="D2" s="205"/>
      <c r="E2" s="206"/>
    </row>
    <row r="3" ht="21.75" customHeight="1">
      <c r="B3" s="227" t="s">
        <v>678</v>
      </c>
      <c r="C3" s="205"/>
      <c r="D3" s="205"/>
      <c r="E3" s="206"/>
    </row>
    <row r="5" ht="27.75" customHeight="1">
      <c r="B5" s="228" t="s">
        <v>94</v>
      </c>
      <c r="C5" s="229" t="s">
        <v>679</v>
      </c>
      <c r="D5" s="230" t="s">
        <v>680</v>
      </c>
      <c r="E5" s="231" t="s">
        <v>681</v>
      </c>
    </row>
    <row r="6" ht="16.5" customHeight="1">
      <c r="B6" s="216" t="s">
        <v>5</v>
      </c>
      <c r="C6" s="232" t="s">
        <v>682</v>
      </c>
      <c r="D6" s="232" t="s">
        <v>683</v>
      </c>
      <c r="E6" s="232" t="s">
        <v>52</v>
      </c>
    </row>
    <row r="7" ht="16.5" customHeight="1">
      <c r="B7" s="218" t="s">
        <v>684</v>
      </c>
      <c r="C7" s="233" t="s">
        <v>685</v>
      </c>
      <c r="D7" s="233" t="s">
        <v>685</v>
      </c>
      <c r="E7" s="233" t="s">
        <v>685</v>
      </c>
    </row>
    <row r="8" ht="16.5" customHeight="1">
      <c r="B8" s="216" t="s">
        <v>407</v>
      </c>
      <c r="C8" s="232" t="s">
        <v>686</v>
      </c>
      <c r="D8" s="232" t="s">
        <v>687</v>
      </c>
      <c r="E8" s="232" t="s">
        <v>688</v>
      </c>
    </row>
    <row r="9" ht="16.5" customHeight="1">
      <c r="B9" s="234" t="s">
        <v>689</v>
      </c>
      <c r="C9" s="235" t="s">
        <v>690</v>
      </c>
      <c r="D9" s="236" t="s">
        <v>691</v>
      </c>
      <c r="E9" s="237" t="s">
        <v>692</v>
      </c>
    </row>
    <row r="10" ht="16.5" customHeight="1">
      <c r="B10" s="216" t="s">
        <v>693</v>
      </c>
      <c r="C10" s="232" t="s">
        <v>694</v>
      </c>
      <c r="D10" s="232" t="s">
        <v>694</v>
      </c>
      <c r="E10" s="232" t="s">
        <v>694</v>
      </c>
    </row>
    <row r="11" ht="16.5" customHeight="1">
      <c r="B11" s="218" t="s">
        <v>13</v>
      </c>
      <c r="C11" s="233" t="s">
        <v>695</v>
      </c>
      <c r="D11" s="233" t="s">
        <v>695</v>
      </c>
      <c r="E11" s="233" t="s">
        <v>695</v>
      </c>
    </row>
    <row r="12" ht="16.5" customHeight="1">
      <c r="B12" s="216" t="s">
        <v>179</v>
      </c>
      <c r="C12" s="232" t="s">
        <v>696</v>
      </c>
      <c r="D12" s="232" t="s">
        <v>697</v>
      </c>
      <c r="E12" s="232" t="s">
        <v>698</v>
      </c>
    </row>
    <row r="13" ht="16.5" customHeight="1">
      <c r="B13" s="218" t="s">
        <v>699</v>
      </c>
      <c r="C13" s="233" t="s">
        <v>434</v>
      </c>
      <c r="D13" s="233" t="s">
        <v>700</v>
      </c>
      <c r="E13" s="233" t="s">
        <v>701</v>
      </c>
    </row>
    <row r="14" ht="16.5" customHeight="1">
      <c r="B14" s="216" t="s">
        <v>23</v>
      </c>
      <c r="C14" s="232" t="s">
        <v>702</v>
      </c>
      <c r="D14" s="232" t="s">
        <v>703</v>
      </c>
      <c r="E14" s="232" t="s">
        <v>704</v>
      </c>
    </row>
    <row r="15" ht="16.5" customHeight="1">
      <c r="B15" s="218" t="s">
        <v>705</v>
      </c>
      <c r="C15" s="233" t="s">
        <v>706</v>
      </c>
      <c r="D15" s="233" t="s">
        <v>707</v>
      </c>
      <c r="E15" s="233" t="s">
        <v>708</v>
      </c>
    </row>
    <row r="16" ht="16.5" customHeight="1">
      <c r="B16" s="216" t="s">
        <v>709</v>
      </c>
      <c r="C16" s="232" t="s">
        <v>192</v>
      </c>
      <c r="D16" s="238" t="s">
        <v>710</v>
      </c>
      <c r="E16" s="232" t="s">
        <v>227</v>
      </c>
    </row>
    <row r="17" ht="16.5" customHeight="1">
      <c r="B17" s="218" t="s">
        <v>711</v>
      </c>
      <c r="C17" s="238" t="s">
        <v>712</v>
      </c>
      <c r="D17" s="233" t="s">
        <v>434</v>
      </c>
      <c r="E17" s="233" t="s">
        <v>434</v>
      </c>
    </row>
    <row r="18" ht="16.5" customHeight="1">
      <c r="B18" s="216" t="s">
        <v>270</v>
      </c>
      <c r="C18" s="238" t="s">
        <v>713</v>
      </c>
      <c r="D18" s="232" t="s">
        <v>714</v>
      </c>
      <c r="E18" s="232" t="s">
        <v>715</v>
      </c>
    </row>
    <row r="19" ht="16.5" customHeight="1">
      <c r="B19" s="218" t="s">
        <v>716</v>
      </c>
      <c r="C19" s="233" t="s">
        <v>717</v>
      </c>
      <c r="D19" s="233" t="s">
        <v>718</v>
      </c>
      <c r="E19" s="233" t="s">
        <v>719</v>
      </c>
    </row>
    <row r="20" ht="16.5" customHeight="1">
      <c r="B20" s="216" t="s">
        <v>720</v>
      </c>
      <c r="C20" s="232" t="s">
        <v>721</v>
      </c>
      <c r="D20" s="232" t="s">
        <v>722</v>
      </c>
      <c r="E20" s="232" t="s">
        <v>723</v>
      </c>
    </row>
    <row r="21" ht="16.5" customHeight="1">
      <c r="B21" s="218" t="s">
        <v>724</v>
      </c>
      <c r="C21" s="238" t="s">
        <v>725</v>
      </c>
      <c r="D21" s="238" t="s">
        <v>725</v>
      </c>
      <c r="E21" s="238" t="s">
        <v>725</v>
      </c>
    </row>
    <row r="22" ht="16.5" customHeight="1">
      <c r="B22" s="216" t="s">
        <v>726</v>
      </c>
      <c r="C22" s="238" t="s">
        <v>727</v>
      </c>
      <c r="D22" s="232" t="s">
        <v>728</v>
      </c>
      <c r="E22" s="232" t="s">
        <v>728</v>
      </c>
    </row>
    <row r="23" ht="16.5" customHeight="1">
      <c r="B23" s="218" t="s">
        <v>729</v>
      </c>
      <c r="C23" s="233" t="s">
        <v>730</v>
      </c>
      <c r="D23" s="233" t="s">
        <v>731</v>
      </c>
      <c r="E23" s="233" t="s">
        <v>732</v>
      </c>
    </row>
    <row r="24" ht="16.5" customHeight="1">
      <c r="B24" s="216" t="s">
        <v>733</v>
      </c>
      <c r="C24" s="232" t="s">
        <v>734</v>
      </c>
      <c r="D24" s="232" t="s">
        <v>735</v>
      </c>
      <c r="E24" s="232" t="s">
        <v>734</v>
      </c>
    </row>
    <row r="25" ht="16.5" customHeight="1">
      <c r="B25" s="218" t="s">
        <v>736</v>
      </c>
      <c r="C25" s="233" t="s">
        <v>737</v>
      </c>
      <c r="D25" s="233" t="s">
        <v>738</v>
      </c>
      <c r="E25" s="233" t="s">
        <v>739</v>
      </c>
    </row>
    <row r="26" ht="15.75" customHeight="1"/>
    <row r="27" ht="21.75" customHeight="1">
      <c r="B27" s="215" t="s">
        <v>740</v>
      </c>
      <c r="C27" s="205"/>
      <c r="D27" s="205"/>
      <c r="E27" s="206"/>
    </row>
    <row r="28" ht="18.0" customHeight="1">
      <c r="B28" s="239" t="s">
        <v>741</v>
      </c>
      <c r="C28" s="240" t="s">
        <v>679</v>
      </c>
      <c r="D28" s="241" t="s">
        <v>680</v>
      </c>
      <c r="E28" s="242" t="s">
        <v>681</v>
      </c>
    </row>
    <row r="29" ht="15.75" customHeight="1">
      <c r="B29" s="243" t="s">
        <v>742</v>
      </c>
      <c r="C29" s="244" t="s">
        <v>743</v>
      </c>
      <c r="D29" s="245" t="s">
        <v>744</v>
      </c>
      <c r="E29" s="245" t="s">
        <v>745</v>
      </c>
    </row>
    <row r="30" ht="15.75" customHeight="1">
      <c r="B30" s="243" t="s">
        <v>746</v>
      </c>
      <c r="C30" s="244" t="s">
        <v>747</v>
      </c>
      <c r="D30" s="245" t="s">
        <v>744</v>
      </c>
      <c r="E30" s="245" t="s">
        <v>744</v>
      </c>
    </row>
    <row r="31" ht="15.75" customHeight="1">
      <c r="B31" s="243" t="s">
        <v>748</v>
      </c>
      <c r="C31" s="245" t="s">
        <v>749</v>
      </c>
      <c r="D31" s="244" t="s">
        <v>750</v>
      </c>
      <c r="E31" s="245" t="s">
        <v>749</v>
      </c>
    </row>
    <row r="32" ht="15.75" customHeight="1">
      <c r="B32" s="243" t="s">
        <v>751</v>
      </c>
      <c r="C32" s="244" t="s">
        <v>750</v>
      </c>
      <c r="D32" s="245" t="s">
        <v>752</v>
      </c>
      <c r="E32" s="245" t="s">
        <v>753</v>
      </c>
    </row>
    <row r="33" ht="15.75" customHeight="1">
      <c r="B33" s="243" t="s">
        <v>754</v>
      </c>
      <c r="C33" s="245" t="s">
        <v>749</v>
      </c>
      <c r="D33" s="244" t="s">
        <v>750</v>
      </c>
      <c r="E33" s="245" t="s">
        <v>747</v>
      </c>
    </row>
    <row r="34" ht="19.5" customHeight="1">
      <c r="B34" s="246" t="s">
        <v>755</v>
      </c>
      <c r="C34" s="247" t="s">
        <v>756</v>
      </c>
      <c r="D34" s="248" t="s">
        <v>757</v>
      </c>
      <c r="E34" s="248" t="s">
        <v>758</v>
      </c>
    </row>
    <row r="35" ht="15.75" customHeight="1"/>
    <row r="36" ht="21.75" customHeight="1">
      <c r="B36" s="249" t="s">
        <v>759</v>
      </c>
      <c r="C36" s="205"/>
      <c r="D36" s="205"/>
      <c r="E36" s="206"/>
    </row>
    <row r="37" ht="129.75" customHeight="1">
      <c r="B37" s="250" t="s">
        <v>760</v>
      </c>
      <c r="C37" s="205"/>
      <c r="D37" s="205"/>
      <c r="E37" s="206"/>
    </row>
    <row r="38" ht="15.75" customHeight="1"/>
    <row r="39" ht="18.0" customHeight="1">
      <c r="B39" s="222" t="s">
        <v>635</v>
      </c>
      <c r="C39" s="39"/>
      <c r="D39" s="223" t="s">
        <v>636</v>
      </c>
      <c r="E39" s="224" t="s">
        <v>637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E2"/>
    <mergeCell ref="B3:E3"/>
    <mergeCell ref="B27:E27"/>
    <mergeCell ref="B36:E36"/>
    <mergeCell ref="B37:E37"/>
    <mergeCell ref="B39:C39"/>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7.5" customHeight="1">
      <c r="B2" s="251" t="s">
        <v>761</v>
      </c>
      <c r="C2" s="252"/>
      <c r="D2" s="252"/>
      <c r="E2" s="252"/>
      <c r="F2" s="253"/>
    </row>
    <row r="3" ht="21.75" customHeight="1">
      <c r="B3" s="254" t="s">
        <v>762</v>
      </c>
      <c r="C3" s="252"/>
      <c r="D3" s="252"/>
      <c r="E3" s="252"/>
      <c r="F3" s="253"/>
    </row>
    <row r="4" ht="19.5" customHeight="1">
      <c r="B4" s="255" t="s">
        <v>763</v>
      </c>
      <c r="C4" s="256"/>
      <c r="D4" s="257" t="s">
        <v>170</v>
      </c>
      <c r="E4" s="258"/>
      <c r="F4" s="256"/>
    </row>
    <row r="5" ht="19.5" customHeight="1">
      <c r="B5" s="259"/>
      <c r="C5" s="129"/>
      <c r="D5" s="260"/>
      <c r="E5" s="162"/>
      <c r="F5" s="46"/>
    </row>
    <row r="6" ht="19.5" customHeight="1">
      <c r="B6" s="259"/>
      <c r="C6" s="129"/>
      <c r="D6" s="261" t="s">
        <v>764</v>
      </c>
      <c r="E6" s="258"/>
      <c r="F6" s="256"/>
    </row>
    <row r="7" ht="19.5" customHeight="1">
      <c r="B7" s="259"/>
      <c r="C7" s="129"/>
      <c r="D7" s="259"/>
      <c r="F7" s="129"/>
    </row>
    <row r="8" ht="19.5" customHeight="1">
      <c r="B8" s="260"/>
      <c r="C8" s="46"/>
      <c r="D8" s="260"/>
      <c r="E8" s="162"/>
      <c r="F8" s="46"/>
    </row>
    <row r="10" ht="21.75" customHeight="1">
      <c r="B10" s="262" t="s">
        <v>4</v>
      </c>
      <c r="C10" s="252"/>
      <c r="D10" s="252"/>
      <c r="E10" s="252"/>
      <c r="F10" s="253"/>
    </row>
    <row r="11" ht="16.5" customHeight="1">
      <c r="B11" s="263" t="s">
        <v>5</v>
      </c>
      <c r="C11" s="264" t="s">
        <v>502</v>
      </c>
      <c r="E11" s="263" t="s">
        <v>765</v>
      </c>
      <c r="F11" s="264" t="s">
        <v>766</v>
      </c>
    </row>
    <row r="12" ht="16.5" customHeight="1">
      <c r="B12" s="265" t="s">
        <v>7</v>
      </c>
      <c r="C12" s="266" t="s">
        <v>767</v>
      </c>
      <c r="E12" s="265" t="s">
        <v>768</v>
      </c>
      <c r="F12" s="266" t="s">
        <v>769</v>
      </c>
    </row>
    <row r="13" ht="16.5" customHeight="1">
      <c r="B13" s="263" t="s">
        <v>770</v>
      </c>
      <c r="C13" s="264" t="s">
        <v>771</v>
      </c>
      <c r="E13" s="263" t="s">
        <v>25</v>
      </c>
      <c r="F13" s="264" t="s">
        <v>772</v>
      </c>
    </row>
    <row r="14" ht="16.5" customHeight="1">
      <c r="B14" s="265" t="s">
        <v>773</v>
      </c>
      <c r="C14" s="266" t="s">
        <v>774</v>
      </c>
      <c r="E14" s="265" t="s">
        <v>29</v>
      </c>
      <c r="F14" s="266" t="s">
        <v>192</v>
      </c>
    </row>
    <row r="15" ht="16.5" customHeight="1">
      <c r="B15" s="263" t="s">
        <v>775</v>
      </c>
      <c r="C15" s="264" t="s">
        <v>776</v>
      </c>
      <c r="E15" s="263" t="s">
        <v>777</v>
      </c>
      <c r="F15" s="264" t="s">
        <v>778</v>
      </c>
    </row>
    <row r="16" ht="16.5" customHeight="1">
      <c r="B16" s="265" t="s">
        <v>779</v>
      </c>
      <c r="C16" s="266" t="s">
        <v>780</v>
      </c>
      <c r="E16" s="265" t="s">
        <v>31</v>
      </c>
      <c r="F16" s="266" t="s">
        <v>781</v>
      </c>
    </row>
    <row r="17" ht="16.5" customHeight="1">
      <c r="B17" s="263" t="s">
        <v>782</v>
      </c>
      <c r="C17" s="264" t="s">
        <v>783</v>
      </c>
      <c r="E17" s="263" t="s">
        <v>33</v>
      </c>
      <c r="F17" s="264" t="s">
        <v>784</v>
      </c>
    </row>
    <row r="18" ht="16.5" customHeight="1">
      <c r="B18" s="265" t="s">
        <v>785</v>
      </c>
      <c r="C18" s="266" t="s">
        <v>786</v>
      </c>
      <c r="E18" s="265" t="s">
        <v>37</v>
      </c>
      <c r="F18" s="266" t="s">
        <v>787</v>
      </c>
    </row>
    <row r="19" ht="16.5" customHeight="1">
      <c r="B19" s="263" t="s">
        <v>788</v>
      </c>
      <c r="C19" s="264" t="s">
        <v>789</v>
      </c>
      <c r="E19" s="263" t="s">
        <v>39</v>
      </c>
      <c r="F19" s="264" t="s">
        <v>790</v>
      </c>
    </row>
    <row r="20" ht="16.5" customHeight="1">
      <c r="B20" s="265" t="s">
        <v>791</v>
      </c>
      <c r="C20" s="266" t="s">
        <v>792</v>
      </c>
      <c r="E20" s="265" t="s">
        <v>41</v>
      </c>
      <c r="F20" s="266" t="s">
        <v>793</v>
      </c>
    </row>
    <row r="21" ht="15.75" customHeight="1"/>
    <row r="22" ht="21.75" customHeight="1">
      <c r="B22" s="262" t="s">
        <v>45</v>
      </c>
      <c r="C22" s="252"/>
      <c r="D22" s="252"/>
      <c r="E22" s="252"/>
      <c r="F22" s="253"/>
    </row>
    <row r="23" ht="64.5" customHeight="1">
      <c r="B23" s="267" t="s">
        <v>794</v>
      </c>
      <c r="C23" s="252"/>
      <c r="D23" s="252"/>
      <c r="E23" s="252"/>
      <c r="F23" s="253"/>
    </row>
    <row r="24" ht="15.75" customHeight="1"/>
    <row r="25" ht="21.75" customHeight="1">
      <c r="B25" s="262" t="s">
        <v>47</v>
      </c>
      <c r="C25" s="252"/>
      <c r="D25" s="252"/>
      <c r="E25" s="252"/>
      <c r="F25" s="253"/>
    </row>
    <row r="26" ht="57.75" customHeight="1">
      <c r="B26" s="268" t="s">
        <v>795</v>
      </c>
      <c r="C26" s="252"/>
      <c r="D26" s="252"/>
      <c r="E26" s="252"/>
      <c r="F26" s="253"/>
    </row>
    <row r="27" ht="15.75" customHeight="1"/>
    <row r="28" ht="18.0" customHeight="1">
      <c r="B28" s="269" t="s">
        <v>635</v>
      </c>
      <c r="C28" s="38"/>
      <c r="D28" s="39"/>
      <c r="E28" s="270" t="s">
        <v>636</v>
      </c>
      <c r="F28" s="271"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7.5" customHeight="1">
      <c r="B2" s="251" t="s">
        <v>761</v>
      </c>
      <c r="C2" s="252"/>
      <c r="D2" s="252"/>
      <c r="E2" s="252"/>
      <c r="F2" s="253"/>
    </row>
    <row r="3" ht="21.75" customHeight="1">
      <c r="B3" s="254" t="s">
        <v>796</v>
      </c>
      <c r="C3" s="252"/>
      <c r="D3" s="252"/>
      <c r="E3" s="252"/>
      <c r="F3" s="253"/>
    </row>
    <row r="4" ht="19.5" customHeight="1">
      <c r="B4" s="272" t="s">
        <v>797</v>
      </c>
      <c r="C4" s="256"/>
      <c r="D4" s="257" t="s">
        <v>170</v>
      </c>
      <c r="E4" s="258"/>
      <c r="F4" s="256"/>
    </row>
    <row r="5" ht="19.5" customHeight="1">
      <c r="B5" s="259"/>
      <c r="C5" s="129"/>
      <c r="D5" s="260"/>
      <c r="E5" s="162"/>
      <c r="F5" s="46"/>
    </row>
    <row r="6" ht="19.5" customHeight="1">
      <c r="B6" s="259"/>
      <c r="C6" s="129"/>
      <c r="D6" s="261" t="s">
        <v>798</v>
      </c>
      <c r="E6" s="258"/>
      <c r="F6" s="256"/>
    </row>
    <row r="7" ht="19.5" customHeight="1">
      <c r="B7" s="259"/>
      <c r="C7" s="129"/>
      <c r="D7" s="259"/>
      <c r="F7" s="129"/>
    </row>
    <row r="8" ht="19.5" customHeight="1">
      <c r="B8" s="260"/>
      <c r="C8" s="46"/>
      <c r="D8" s="260"/>
      <c r="E8" s="162"/>
      <c r="F8" s="46"/>
    </row>
    <row r="10" ht="21.75" customHeight="1">
      <c r="B10" s="262" t="s">
        <v>4</v>
      </c>
      <c r="C10" s="252"/>
      <c r="D10" s="252"/>
      <c r="E10" s="252"/>
      <c r="F10" s="253"/>
    </row>
    <row r="11" ht="16.5" customHeight="1">
      <c r="B11" s="263" t="s">
        <v>5</v>
      </c>
      <c r="C11" s="264" t="s">
        <v>6</v>
      </c>
      <c r="E11" s="263" t="s">
        <v>768</v>
      </c>
      <c r="F11" s="264" t="s">
        <v>799</v>
      </c>
    </row>
    <row r="12" ht="16.5" customHeight="1">
      <c r="B12" s="265" t="s">
        <v>7</v>
      </c>
      <c r="C12" s="266" t="s">
        <v>800</v>
      </c>
      <c r="E12" s="265" t="s">
        <v>25</v>
      </c>
      <c r="F12" s="266" t="s">
        <v>641</v>
      </c>
    </row>
    <row r="13" ht="16.5" customHeight="1">
      <c r="B13" s="263" t="s">
        <v>770</v>
      </c>
      <c r="C13" s="264" t="s">
        <v>801</v>
      </c>
      <c r="E13" s="263" t="s">
        <v>29</v>
      </c>
      <c r="F13" s="264" t="s">
        <v>802</v>
      </c>
    </row>
    <row r="14" ht="16.5" customHeight="1">
      <c r="B14" s="265" t="s">
        <v>218</v>
      </c>
      <c r="C14" s="266" t="s">
        <v>803</v>
      </c>
      <c r="E14" s="265" t="s">
        <v>777</v>
      </c>
      <c r="F14" s="266" t="s">
        <v>804</v>
      </c>
    </row>
    <row r="15" ht="16.5" customHeight="1">
      <c r="B15" s="263" t="s">
        <v>779</v>
      </c>
      <c r="C15" s="264" t="s">
        <v>805</v>
      </c>
      <c r="E15" s="263" t="s">
        <v>31</v>
      </c>
      <c r="F15" s="264" t="s">
        <v>806</v>
      </c>
    </row>
    <row r="16" ht="16.5" customHeight="1">
      <c r="B16" s="265" t="s">
        <v>782</v>
      </c>
      <c r="C16" s="266" t="s">
        <v>807</v>
      </c>
      <c r="E16" s="265" t="s">
        <v>33</v>
      </c>
      <c r="F16" s="266" t="s">
        <v>808</v>
      </c>
    </row>
    <row r="17" ht="16.5" customHeight="1">
      <c r="B17" s="263" t="s">
        <v>785</v>
      </c>
      <c r="C17" s="264" t="s">
        <v>809</v>
      </c>
      <c r="E17" s="263" t="s">
        <v>37</v>
      </c>
      <c r="F17" s="264" t="s">
        <v>810</v>
      </c>
    </row>
    <row r="18" ht="16.5" customHeight="1">
      <c r="B18" s="265" t="s">
        <v>788</v>
      </c>
      <c r="C18" s="266" t="s">
        <v>811</v>
      </c>
      <c r="E18" s="265" t="s">
        <v>39</v>
      </c>
      <c r="F18" s="266" t="s">
        <v>628</v>
      </c>
    </row>
    <row r="19" ht="16.5" customHeight="1">
      <c r="B19" s="263" t="s">
        <v>791</v>
      </c>
      <c r="C19" s="264" t="s">
        <v>812</v>
      </c>
      <c r="E19" s="263" t="s">
        <v>43</v>
      </c>
      <c r="F19" s="264" t="s">
        <v>813</v>
      </c>
    </row>
    <row r="20" ht="16.5" customHeight="1">
      <c r="B20" s="265" t="s">
        <v>814</v>
      </c>
      <c r="C20" s="266" t="s">
        <v>815</v>
      </c>
      <c r="E20" s="265" t="s">
        <v>41</v>
      </c>
      <c r="F20" s="266" t="s">
        <v>816</v>
      </c>
    </row>
    <row r="21" ht="15.75" customHeight="1"/>
    <row r="22" ht="21.75" customHeight="1">
      <c r="B22" s="262" t="s">
        <v>45</v>
      </c>
      <c r="C22" s="252"/>
      <c r="D22" s="252"/>
      <c r="E22" s="252"/>
      <c r="F22" s="253"/>
    </row>
    <row r="23" ht="64.5" customHeight="1">
      <c r="B23" s="267" t="s">
        <v>817</v>
      </c>
      <c r="C23" s="252"/>
      <c r="D23" s="252"/>
      <c r="E23" s="252"/>
      <c r="F23" s="253"/>
    </row>
    <row r="24" ht="15.75" customHeight="1"/>
    <row r="25" ht="21.75" customHeight="1">
      <c r="B25" s="262" t="s">
        <v>47</v>
      </c>
      <c r="C25" s="252"/>
      <c r="D25" s="252"/>
      <c r="E25" s="252"/>
      <c r="F25" s="253"/>
    </row>
    <row r="26" ht="57.75" customHeight="1">
      <c r="B26" s="268" t="s">
        <v>818</v>
      </c>
      <c r="C26" s="252"/>
      <c r="D26" s="252"/>
      <c r="E26" s="252"/>
      <c r="F26" s="253"/>
    </row>
    <row r="27" ht="15.75" customHeight="1"/>
    <row r="28" ht="18.0" customHeight="1">
      <c r="B28" s="269" t="s">
        <v>635</v>
      </c>
      <c r="C28" s="38"/>
      <c r="D28" s="39"/>
      <c r="E28" s="270" t="s">
        <v>636</v>
      </c>
      <c r="F28" s="271"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0.0"/>
    <col customWidth="1" min="3" max="3" width="28.0"/>
    <col customWidth="1" min="4" max="4" width="2.0"/>
    <col customWidth="1" min="5" max="6" width="28.0"/>
    <col customWidth="1" min="7" max="26" width="8.71"/>
  </cols>
  <sheetData>
    <row r="1" ht="7.5" customHeight="1"/>
    <row r="2" ht="37.5" customHeight="1">
      <c r="B2" s="251" t="s">
        <v>761</v>
      </c>
      <c r="C2" s="252"/>
      <c r="D2" s="252"/>
      <c r="E2" s="252"/>
      <c r="F2" s="253"/>
    </row>
    <row r="3" ht="21.75" customHeight="1">
      <c r="B3" s="254" t="s">
        <v>819</v>
      </c>
      <c r="C3" s="252"/>
      <c r="D3" s="252"/>
      <c r="E3" s="252"/>
      <c r="F3" s="253"/>
    </row>
    <row r="4" ht="19.5" customHeight="1">
      <c r="B4" s="273" t="s">
        <v>820</v>
      </c>
      <c r="C4" s="256"/>
      <c r="D4" s="257" t="s">
        <v>170</v>
      </c>
      <c r="E4" s="258"/>
      <c r="F4" s="256"/>
    </row>
    <row r="5" ht="19.5" customHeight="1">
      <c r="B5" s="259"/>
      <c r="C5" s="129"/>
      <c r="D5" s="260"/>
      <c r="E5" s="162"/>
      <c r="F5" s="46"/>
    </row>
    <row r="6" ht="19.5" customHeight="1">
      <c r="B6" s="259"/>
      <c r="C6" s="129"/>
      <c r="D6" s="261" t="s">
        <v>821</v>
      </c>
      <c r="E6" s="258"/>
      <c r="F6" s="256"/>
    </row>
    <row r="7" ht="19.5" customHeight="1">
      <c r="B7" s="259"/>
      <c r="C7" s="129"/>
      <c r="D7" s="259"/>
      <c r="F7" s="129"/>
    </row>
    <row r="8" ht="19.5" customHeight="1">
      <c r="B8" s="260"/>
      <c r="C8" s="46"/>
      <c r="D8" s="260"/>
      <c r="E8" s="162"/>
      <c r="F8" s="46"/>
    </row>
    <row r="10" ht="21.75" customHeight="1">
      <c r="B10" s="262" t="s">
        <v>4</v>
      </c>
      <c r="C10" s="252"/>
      <c r="D10" s="252"/>
      <c r="E10" s="252"/>
      <c r="F10" s="253"/>
    </row>
    <row r="11" ht="16.5" customHeight="1">
      <c r="B11" s="263" t="s">
        <v>5</v>
      </c>
      <c r="C11" s="264" t="s">
        <v>822</v>
      </c>
      <c r="E11" s="263" t="s">
        <v>768</v>
      </c>
      <c r="F11" s="264" t="s">
        <v>823</v>
      </c>
    </row>
    <row r="12" ht="16.5" customHeight="1">
      <c r="B12" s="265" t="s">
        <v>7</v>
      </c>
      <c r="C12" s="266" t="s">
        <v>824</v>
      </c>
      <c r="E12" s="265" t="s">
        <v>25</v>
      </c>
      <c r="F12" s="266" t="s">
        <v>825</v>
      </c>
    </row>
    <row r="13" ht="16.5" customHeight="1">
      <c r="B13" s="263" t="s">
        <v>770</v>
      </c>
      <c r="C13" s="264" t="s">
        <v>826</v>
      </c>
      <c r="E13" s="263" t="s">
        <v>29</v>
      </c>
      <c r="F13" s="264" t="s">
        <v>227</v>
      </c>
    </row>
    <row r="14" ht="16.5" customHeight="1">
      <c r="B14" s="265" t="s">
        <v>218</v>
      </c>
      <c r="C14" s="266" t="s">
        <v>827</v>
      </c>
      <c r="E14" s="265" t="s">
        <v>777</v>
      </c>
      <c r="F14" s="266" t="s">
        <v>828</v>
      </c>
    </row>
    <row r="15" ht="16.5" customHeight="1">
      <c r="B15" s="263" t="s">
        <v>779</v>
      </c>
      <c r="C15" s="264" t="s">
        <v>829</v>
      </c>
      <c r="E15" s="263" t="s">
        <v>31</v>
      </c>
      <c r="F15" s="264" t="s">
        <v>830</v>
      </c>
    </row>
    <row r="16" ht="16.5" customHeight="1">
      <c r="B16" s="265" t="s">
        <v>782</v>
      </c>
      <c r="C16" s="266" t="s">
        <v>831</v>
      </c>
      <c r="E16" s="265" t="s">
        <v>33</v>
      </c>
      <c r="F16" s="266" t="s">
        <v>832</v>
      </c>
    </row>
    <row r="17" ht="16.5" customHeight="1">
      <c r="B17" s="263" t="s">
        <v>785</v>
      </c>
      <c r="C17" s="264" t="s">
        <v>833</v>
      </c>
      <c r="E17" s="263" t="s">
        <v>37</v>
      </c>
      <c r="F17" s="264" t="s">
        <v>834</v>
      </c>
    </row>
    <row r="18" ht="16.5" customHeight="1">
      <c r="B18" s="265" t="s">
        <v>788</v>
      </c>
      <c r="C18" s="266" t="s">
        <v>835</v>
      </c>
      <c r="E18" s="265" t="s">
        <v>39</v>
      </c>
      <c r="F18" s="266" t="s">
        <v>836</v>
      </c>
    </row>
    <row r="19" ht="16.5" customHeight="1">
      <c r="B19" s="263" t="s">
        <v>791</v>
      </c>
      <c r="C19" s="264" t="s">
        <v>837</v>
      </c>
      <c r="E19" s="263" t="s">
        <v>43</v>
      </c>
      <c r="F19" s="264" t="s">
        <v>838</v>
      </c>
    </row>
    <row r="20" ht="16.5" customHeight="1">
      <c r="B20" s="265" t="s">
        <v>814</v>
      </c>
      <c r="C20" s="266" t="s">
        <v>839</v>
      </c>
      <c r="E20" s="265" t="s">
        <v>41</v>
      </c>
      <c r="F20" s="266" t="s">
        <v>840</v>
      </c>
    </row>
    <row r="21" ht="15.75" customHeight="1"/>
    <row r="22" ht="21.75" customHeight="1">
      <c r="B22" s="262" t="s">
        <v>45</v>
      </c>
      <c r="C22" s="252"/>
      <c r="D22" s="252"/>
      <c r="E22" s="252"/>
      <c r="F22" s="253"/>
    </row>
    <row r="23" ht="64.5" customHeight="1">
      <c r="B23" s="267" t="s">
        <v>841</v>
      </c>
      <c r="C23" s="252"/>
      <c r="D23" s="252"/>
      <c r="E23" s="252"/>
      <c r="F23" s="253"/>
    </row>
    <row r="24" ht="15.75" customHeight="1"/>
    <row r="25" ht="21.75" customHeight="1">
      <c r="B25" s="262" t="s">
        <v>47</v>
      </c>
      <c r="C25" s="252"/>
      <c r="D25" s="252"/>
      <c r="E25" s="252"/>
      <c r="F25" s="253"/>
    </row>
    <row r="26" ht="57.75" customHeight="1">
      <c r="B26" s="268" t="s">
        <v>842</v>
      </c>
      <c r="C26" s="252"/>
      <c r="D26" s="252"/>
      <c r="E26" s="252"/>
      <c r="F26" s="253"/>
    </row>
    <row r="27" ht="15.75" customHeight="1"/>
    <row r="28" ht="18.0" customHeight="1">
      <c r="B28" s="269" t="s">
        <v>635</v>
      </c>
      <c r="C28" s="38"/>
      <c r="D28" s="39"/>
      <c r="E28" s="270" t="s">
        <v>636</v>
      </c>
      <c r="F28" s="271" t="s">
        <v>637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F23"/>
    <mergeCell ref="B25:F25"/>
    <mergeCell ref="B26:F26"/>
    <mergeCell ref="B28:D28"/>
    <mergeCell ref="B2:F2"/>
    <mergeCell ref="B3:F3"/>
    <mergeCell ref="B4:C8"/>
    <mergeCell ref="D4:F5"/>
    <mergeCell ref="D6:F8"/>
    <mergeCell ref="B10:F10"/>
    <mergeCell ref="B22:F22"/>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36.0"/>
    <col customWidth="1" min="3" max="5" width="22.0"/>
    <col customWidth="1" min="6" max="6" width="2.0"/>
    <col customWidth="1" min="7" max="26" width="8.71"/>
  </cols>
  <sheetData>
    <row r="1" ht="7.5" customHeight="1"/>
    <row r="2" ht="37.5" customHeight="1">
      <c r="B2" s="251" t="s">
        <v>843</v>
      </c>
      <c r="C2" s="252"/>
      <c r="D2" s="252"/>
      <c r="E2" s="253"/>
    </row>
    <row r="3" ht="21.75" customHeight="1">
      <c r="B3" s="274" t="s">
        <v>844</v>
      </c>
      <c r="C3" s="252"/>
      <c r="D3" s="252"/>
      <c r="E3" s="253"/>
    </row>
    <row r="5" ht="27.75" customHeight="1">
      <c r="B5" s="275" t="s">
        <v>94</v>
      </c>
      <c r="C5" s="276" t="s">
        <v>845</v>
      </c>
      <c r="D5" s="277" t="s">
        <v>846</v>
      </c>
      <c r="E5" s="278" t="s">
        <v>847</v>
      </c>
    </row>
    <row r="6" ht="16.5" customHeight="1">
      <c r="B6" s="263" t="s">
        <v>5</v>
      </c>
      <c r="C6" s="279" t="s">
        <v>848</v>
      </c>
      <c r="D6" s="279" t="s">
        <v>849</v>
      </c>
      <c r="E6" s="279" t="s">
        <v>850</v>
      </c>
    </row>
    <row r="7" ht="16.5" customHeight="1">
      <c r="B7" s="265" t="s">
        <v>684</v>
      </c>
      <c r="C7" s="280" t="s">
        <v>851</v>
      </c>
      <c r="D7" s="280" t="s">
        <v>851</v>
      </c>
      <c r="E7" s="280" t="s">
        <v>852</v>
      </c>
    </row>
    <row r="8" ht="16.5" customHeight="1">
      <c r="B8" s="263" t="s">
        <v>407</v>
      </c>
      <c r="C8" s="279" t="s">
        <v>853</v>
      </c>
      <c r="D8" s="279" t="s">
        <v>854</v>
      </c>
      <c r="E8" s="279" t="s">
        <v>855</v>
      </c>
    </row>
    <row r="9" ht="16.5" customHeight="1">
      <c r="B9" s="281" t="s">
        <v>100</v>
      </c>
      <c r="C9" s="282" t="s">
        <v>856</v>
      </c>
      <c r="D9" s="283" t="s">
        <v>857</v>
      </c>
      <c r="E9" s="284" t="s">
        <v>858</v>
      </c>
    </row>
    <row r="10" ht="16.5" customHeight="1">
      <c r="B10" s="263" t="s">
        <v>859</v>
      </c>
      <c r="C10" s="279" t="s">
        <v>860</v>
      </c>
      <c r="D10" s="279" t="s">
        <v>860</v>
      </c>
      <c r="E10" s="285" t="s">
        <v>861</v>
      </c>
    </row>
    <row r="11" ht="16.5" customHeight="1">
      <c r="B11" s="265" t="s">
        <v>218</v>
      </c>
      <c r="C11" s="280" t="s">
        <v>862</v>
      </c>
      <c r="D11" s="280" t="s">
        <v>863</v>
      </c>
      <c r="E11" s="285" t="s">
        <v>864</v>
      </c>
    </row>
    <row r="12" ht="16.5" customHeight="1">
      <c r="B12" s="263" t="s">
        <v>865</v>
      </c>
      <c r="C12" s="285" t="s">
        <v>866</v>
      </c>
      <c r="D12" s="279" t="s">
        <v>867</v>
      </c>
      <c r="E12" s="285" t="s">
        <v>868</v>
      </c>
    </row>
    <row r="13" ht="16.5" customHeight="1">
      <c r="B13" s="265" t="s">
        <v>869</v>
      </c>
      <c r="C13" s="285" t="s">
        <v>870</v>
      </c>
      <c r="D13" s="285" t="s">
        <v>871</v>
      </c>
      <c r="E13" s="285" t="s">
        <v>872</v>
      </c>
    </row>
    <row r="14" ht="16.5" customHeight="1">
      <c r="B14" s="263" t="s">
        <v>770</v>
      </c>
      <c r="C14" s="279" t="s">
        <v>873</v>
      </c>
      <c r="D14" s="279" t="s">
        <v>874</v>
      </c>
      <c r="E14" s="279" t="s">
        <v>875</v>
      </c>
    </row>
    <row r="15" ht="16.5" customHeight="1">
      <c r="B15" s="265" t="s">
        <v>876</v>
      </c>
      <c r="C15" s="280" t="s">
        <v>877</v>
      </c>
      <c r="D15" s="285" t="s">
        <v>878</v>
      </c>
      <c r="E15" s="285" t="s">
        <v>879</v>
      </c>
    </row>
    <row r="16" ht="16.5" customHeight="1">
      <c r="B16" s="263" t="s">
        <v>880</v>
      </c>
      <c r="C16" s="285" t="s">
        <v>881</v>
      </c>
      <c r="D16" s="285" t="s">
        <v>882</v>
      </c>
      <c r="E16" s="279" t="s">
        <v>883</v>
      </c>
    </row>
    <row r="17" ht="16.5" customHeight="1">
      <c r="B17" s="265" t="s">
        <v>814</v>
      </c>
      <c r="C17" s="285" t="s">
        <v>884</v>
      </c>
      <c r="D17" s="280" t="s">
        <v>885</v>
      </c>
      <c r="E17" s="285" t="s">
        <v>886</v>
      </c>
    </row>
    <row r="18" ht="16.5" customHeight="1">
      <c r="B18" s="263" t="s">
        <v>887</v>
      </c>
      <c r="C18" s="285" t="s">
        <v>888</v>
      </c>
      <c r="D18" s="279" t="s">
        <v>889</v>
      </c>
      <c r="E18" s="279" t="s">
        <v>890</v>
      </c>
    </row>
    <row r="19" ht="16.5" customHeight="1">
      <c r="B19" s="265" t="s">
        <v>768</v>
      </c>
      <c r="C19" s="285" t="s">
        <v>891</v>
      </c>
      <c r="D19" s="280" t="s">
        <v>892</v>
      </c>
      <c r="E19" s="285" t="s">
        <v>893</v>
      </c>
    </row>
    <row r="20" ht="16.5" customHeight="1">
      <c r="B20" s="263" t="s">
        <v>894</v>
      </c>
      <c r="C20" s="279" t="s">
        <v>434</v>
      </c>
      <c r="D20" s="279" t="s">
        <v>434</v>
      </c>
      <c r="E20" s="285" t="s">
        <v>895</v>
      </c>
    </row>
    <row r="21" ht="16.5" customHeight="1">
      <c r="B21" s="265" t="s">
        <v>705</v>
      </c>
      <c r="C21" s="280" t="s">
        <v>706</v>
      </c>
      <c r="D21" s="280" t="s">
        <v>707</v>
      </c>
      <c r="E21" s="280" t="s">
        <v>896</v>
      </c>
    </row>
    <row r="22" ht="16.5" customHeight="1">
      <c r="B22" s="263" t="s">
        <v>444</v>
      </c>
      <c r="C22" s="279" t="s">
        <v>192</v>
      </c>
      <c r="D22" s="285" t="s">
        <v>710</v>
      </c>
      <c r="E22" s="279" t="s">
        <v>227</v>
      </c>
    </row>
    <row r="23" ht="16.5" customHeight="1">
      <c r="B23" s="265" t="s">
        <v>791</v>
      </c>
      <c r="C23" s="280" t="s">
        <v>897</v>
      </c>
      <c r="D23" s="280" t="s">
        <v>897</v>
      </c>
      <c r="E23" s="280" t="s">
        <v>897</v>
      </c>
    </row>
    <row r="24" ht="16.5" customHeight="1">
      <c r="B24" s="263" t="s">
        <v>898</v>
      </c>
      <c r="C24" s="285" t="s">
        <v>899</v>
      </c>
      <c r="D24" s="279" t="s">
        <v>728</v>
      </c>
      <c r="E24" s="285" t="s">
        <v>727</v>
      </c>
    </row>
    <row r="25" ht="16.5" customHeight="1">
      <c r="B25" s="265" t="s">
        <v>736</v>
      </c>
      <c r="C25" s="280" t="s">
        <v>900</v>
      </c>
      <c r="D25" s="280" t="s">
        <v>901</v>
      </c>
      <c r="E25" s="280" t="s">
        <v>902</v>
      </c>
    </row>
    <row r="26" ht="15.75" customHeight="1"/>
    <row r="27" ht="21.75" customHeight="1">
      <c r="B27" s="262" t="s">
        <v>903</v>
      </c>
      <c r="C27" s="252"/>
      <c r="D27" s="252"/>
      <c r="E27" s="253"/>
    </row>
    <row r="28" ht="18.0" customHeight="1">
      <c r="B28" s="286" t="s">
        <v>741</v>
      </c>
      <c r="C28" s="287" t="s">
        <v>845</v>
      </c>
      <c r="D28" s="288" t="s">
        <v>846</v>
      </c>
      <c r="E28" s="289" t="s">
        <v>847</v>
      </c>
    </row>
    <row r="29" ht="15.75" customHeight="1">
      <c r="B29" s="290" t="s">
        <v>904</v>
      </c>
      <c r="C29" s="291" t="s">
        <v>743</v>
      </c>
      <c r="D29" s="292" t="s">
        <v>905</v>
      </c>
      <c r="E29" s="292" t="s">
        <v>906</v>
      </c>
    </row>
    <row r="30" ht="15.75" customHeight="1">
      <c r="B30" s="290" t="s">
        <v>907</v>
      </c>
      <c r="C30" s="291" t="s">
        <v>750</v>
      </c>
      <c r="D30" s="292" t="s">
        <v>744</v>
      </c>
      <c r="E30" s="292" t="s">
        <v>749</v>
      </c>
    </row>
    <row r="31" ht="15.75" customHeight="1">
      <c r="B31" s="290" t="s">
        <v>908</v>
      </c>
      <c r="C31" s="291" t="s">
        <v>747</v>
      </c>
      <c r="D31" s="291" t="s">
        <v>747</v>
      </c>
      <c r="E31" s="291" t="s">
        <v>747</v>
      </c>
    </row>
    <row r="32" ht="15.75" customHeight="1">
      <c r="B32" s="290" t="s">
        <v>909</v>
      </c>
      <c r="C32" s="292" t="s">
        <v>749</v>
      </c>
      <c r="D32" s="291" t="s">
        <v>750</v>
      </c>
      <c r="E32" s="292" t="s">
        <v>749</v>
      </c>
    </row>
    <row r="33" ht="15.75" customHeight="1">
      <c r="B33" s="290" t="s">
        <v>910</v>
      </c>
      <c r="C33" s="291" t="s">
        <v>750</v>
      </c>
      <c r="D33" s="291" t="s">
        <v>750</v>
      </c>
      <c r="E33" s="292" t="s">
        <v>744</v>
      </c>
    </row>
    <row r="34" ht="21.75" customHeight="1">
      <c r="B34" s="293" t="s">
        <v>755</v>
      </c>
      <c r="C34" s="294" t="s">
        <v>911</v>
      </c>
      <c r="D34" s="295" t="s">
        <v>912</v>
      </c>
      <c r="E34" s="295" t="s">
        <v>913</v>
      </c>
    </row>
    <row r="35" ht="15.75" customHeight="1"/>
    <row r="36" ht="21.75" customHeight="1">
      <c r="B36" s="296" t="s">
        <v>759</v>
      </c>
      <c r="C36" s="252"/>
      <c r="D36" s="252"/>
      <c r="E36" s="253"/>
    </row>
    <row r="37" ht="165.0" customHeight="1">
      <c r="B37" s="297" t="s">
        <v>914</v>
      </c>
      <c r="C37" s="252"/>
      <c r="D37" s="252"/>
      <c r="E37" s="253"/>
    </row>
    <row r="38" ht="15.75" customHeight="1"/>
    <row r="39" ht="18.0" customHeight="1">
      <c r="B39" s="269" t="s">
        <v>635</v>
      </c>
      <c r="C39" s="39"/>
      <c r="D39" s="270" t="s">
        <v>636</v>
      </c>
      <c r="E39" s="271" t="s">
        <v>637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E2"/>
    <mergeCell ref="B3:E3"/>
    <mergeCell ref="B27:E27"/>
    <mergeCell ref="B36:E36"/>
    <mergeCell ref="B37:E37"/>
    <mergeCell ref="B39:C39"/>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2.0" customHeight="1">
      <c r="A1" s="298" t="s">
        <v>915</v>
      </c>
      <c r="B1" s="38"/>
      <c r="C1" s="38"/>
      <c r="D1" s="38"/>
      <c r="E1" s="38"/>
      <c r="F1" s="38"/>
      <c r="G1" s="39"/>
    </row>
    <row r="2" ht="24.0" customHeight="1">
      <c r="A2" s="299" t="s">
        <v>916</v>
      </c>
      <c r="B2" s="38"/>
      <c r="C2" s="38"/>
      <c r="D2" s="38"/>
      <c r="E2" s="38"/>
      <c r="F2" s="38"/>
      <c r="G2" s="39"/>
    </row>
    <row r="3" ht="21.75" customHeight="1">
      <c r="A3" s="300" t="s">
        <v>95</v>
      </c>
      <c r="B3" s="159"/>
      <c r="C3" s="43"/>
      <c r="D3" s="301" t="s">
        <v>917</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302" t="s">
        <v>4</v>
      </c>
      <c r="B9" s="38"/>
      <c r="C9" s="38"/>
      <c r="D9" s="38"/>
      <c r="E9" s="38"/>
      <c r="F9" s="38"/>
      <c r="G9" s="39"/>
    </row>
    <row r="10" ht="30.0" customHeight="1">
      <c r="B10" s="303" t="s">
        <v>5</v>
      </c>
      <c r="C10" s="304" t="s">
        <v>6</v>
      </c>
      <c r="D10" s="167"/>
      <c r="E10" s="303" t="s">
        <v>7</v>
      </c>
      <c r="F10" s="304" t="s">
        <v>918</v>
      </c>
    </row>
    <row r="11" ht="30.0" customHeight="1">
      <c r="B11" s="305" t="s">
        <v>919</v>
      </c>
      <c r="C11" s="306" t="s">
        <v>920</v>
      </c>
      <c r="D11" s="167"/>
      <c r="E11" s="305" t="s">
        <v>461</v>
      </c>
      <c r="F11" s="306" t="s">
        <v>921</v>
      </c>
    </row>
    <row r="12" ht="30.0" customHeight="1">
      <c r="B12" s="303" t="s">
        <v>922</v>
      </c>
      <c r="C12" s="304" t="s">
        <v>923</v>
      </c>
      <c r="D12" s="167"/>
      <c r="E12" s="303" t="s">
        <v>924</v>
      </c>
      <c r="F12" s="304" t="s">
        <v>925</v>
      </c>
    </row>
    <row r="13" ht="30.0" customHeight="1">
      <c r="B13" s="305" t="s">
        <v>926</v>
      </c>
      <c r="C13" s="306" t="s">
        <v>927</v>
      </c>
      <c r="D13" s="167"/>
      <c r="E13" s="305" t="s">
        <v>928</v>
      </c>
      <c r="F13" s="306" t="s">
        <v>929</v>
      </c>
    </row>
    <row r="14" ht="30.0" customHeight="1">
      <c r="B14" s="303" t="s">
        <v>930</v>
      </c>
      <c r="C14" s="304" t="s">
        <v>931</v>
      </c>
      <c r="D14" s="167"/>
      <c r="E14" s="303" t="s">
        <v>932</v>
      </c>
      <c r="F14" s="304" t="s">
        <v>933</v>
      </c>
    </row>
    <row r="15" ht="30.0" customHeight="1">
      <c r="B15" s="305" t="s">
        <v>475</v>
      </c>
      <c r="C15" s="306" t="s">
        <v>227</v>
      </c>
      <c r="D15" s="167"/>
      <c r="E15" s="305" t="s">
        <v>476</v>
      </c>
      <c r="F15" s="306" t="s">
        <v>477</v>
      </c>
    </row>
    <row r="16" ht="30.0" customHeight="1">
      <c r="B16" s="303" t="s">
        <v>934</v>
      </c>
      <c r="C16" s="304" t="s">
        <v>935</v>
      </c>
      <c r="D16" s="167"/>
      <c r="E16" s="303" t="s">
        <v>37</v>
      </c>
      <c r="F16" s="304" t="s">
        <v>647</v>
      </c>
    </row>
    <row r="17" ht="30.0" customHeight="1">
      <c r="B17" s="305" t="s">
        <v>35</v>
      </c>
      <c r="C17" s="306" t="s">
        <v>936</v>
      </c>
      <c r="D17" s="167"/>
      <c r="E17" s="305" t="s">
        <v>937</v>
      </c>
      <c r="F17" s="306" t="s">
        <v>938</v>
      </c>
    </row>
    <row r="18" ht="30.0" customHeight="1">
      <c r="B18" s="303" t="s">
        <v>486</v>
      </c>
      <c r="C18" s="304" t="s">
        <v>939</v>
      </c>
      <c r="D18" s="167"/>
      <c r="E18" s="303" t="s">
        <v>488</v>
      </c>
      <c r="F18" s="304" t="s">
        <v>940</v>
      </c>
    </row>
    <row r="19" ht="30.0" customHeight="1">
      <c r="B19" s="305" t="s">
        <v>941</v>
      </c>
      <c r="C19" s="306" t="s">
        <v>942</v>
      </c>
      <c r="D19" s="167"/>
      <c r="E19" s="305" t="s">
        <v>492</v>
      </c>
      <c r="F19" s="306" t="s">
        <v>943</v>
      </c>
    </row>
    <row r="20" ht="6.0" customHeight="1">
      <c r="A20" s="163"/>
      <c r="B20" s="38"/>
      <c r="C20" s="38"/>
      <c r="D20" s="38"/>
      <c r="E20" s="38"/>
      <c r="F20" s="38"/>
      <c r="G20" s="39"/>
    </row>
    <row r="21" ht="24.0" customHeight="1">
      <c r="A21" s="302" t="s">
        <v>45</v>
      </c>
      <c r="B21" s="38"/>
      <c r="C21" s="38"/>
      <c r="D21" s="38"/>
      <c r="E21" s="38"/>
      <c r="F21" s="38"/>
      <c r="G21" s="39"/>
    </row>
    <row r="22" ht="18.0" customHeight="1">
      <c r="B22" s="307" t="s">
        <v>944</v>
      </c>
      <c r="C22" s="308"/>
      <c r="D22" s="308"/>
      <c r="E22" s="308"/>
      <c r="F22" s="309"/>
    </row>
    <row r="23" ht="18.0" customHeight="1">
      <c r="B23" s="310"/>
      <c r="F23" s="129"/>
    </row>
    <row r="24" ht="18.0" customHeight="1">
      <c r="B24" s="310"/>
      <c r="F24" s="129"/>
    </row>
    <row r="25" ht="18.0" customHeight="1">
      <c r="B25" s="311"/>
      <c r="C25" s="162"/>
      <c r="D25" s="162"/>
      <c r="E25" s="162"/>
      <c r="F25" s="46"/>
    </row>
    <row r="26" ht="6.0" customHeight="1">
      <c r="A26" s="163"/>
      <c r="B26" s="38"/>
      <c r="C26" s="38"/>
      <c r="D26" s="38"/>
      <c r="E26" s="38"/>
      <c r="F26" s="38"/>
      <c r="G26" s="39"/>
    </row>
    <row r="27" ht="24.0" customHeight="1">
      <c r="A27" s="312" t="s">
        <v>47</v>
      </c>
      <c r="B27" s="38"/>
      <c r="C27" s="38"/>
      <c r="D27" s="38"/>
      <c r="E27" s="38"/>
      <c r="F27" s="38"/>
      <c r="G27" s="39"/>
    </row>
    <row r="28" ht="19.5" customHeight="1">
      <c r="B28" s="313" t="s">
        <v>945</v>
      </c>
      <c r="C28" s="314"/>
      <c r="D28" s="314"/>
      <c r="E28" s="314"/>
      <c r="F28" s="315"/>
    </row>
    <row r="29" ht="19.5" customHeight="1">
      <c r="B29" s="316"/>
      <c r="F29" s="129"/>
    </row>
    <row r="30" ht="19.5" customHeight="1">
      <c r="B30" s="317"/>
      <c r="C30" s="162"/>
      <c r="D30" s="162"/>
      <c r="E30" s="162"/>
      <c r="F30" s="46"/>
    </row>
    <row r="31" ht="7.5" customHeight="1">
      <c r="A31" s="163"/>
      <c r="B31" s="38"/>
      <c r="C31" s="38"/>
      <c r="D31" s="38"/>
      <c r="E31" s="38"/>
      <c r="F31" s="38"/>
      <c r="G31" s="39"/>
    </row>
    <row r="32" ht="19.5" customHeight="1">
      <c r="A32" s="318"/>
      <c r="B32" s="319" t="s">
        <v>496</v>
      </c>
      <c r="C32" s="39"/>
      <c r="D32" s="320" t="s">
        <v>497</v>
      </c>
      <c r="E32" s="321" t="s">
        <v>498</v>
      </c>
      <c r="F32" s="39"/>
      <c r="G32" s="3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2.0" customHeight="1">
      <c r="A1" s="298" t="s">
        <v>915</v>
      </c>
      <c r="B1" s="38"/>
      <c r="C1" s="38"/>
      <c r="D1" s="38"/>
      <c r="E1" s="38"/>
      <c r="F1" s="38"/>
      <c r="G1" s="39"/>
    </row>
    <row r="2" ht="24.0" customHeight="1">
      <c r="A2" s="299" t="s">
        <v>946</v>
      </c>
      <c r="B2" s="38"/>
      <c r="C2" s="38"/>
      <c r="D2" s="38"/>
      <c r="E2" s="38"/>
      <c r="F2" s="38"/>
      <c r="G2" s="39"/>
    </row>
    <row r="3" ht="21.75" customHeight="1">
      <c r="A3" s="322" t="s">
        <v>947</v>
      </c>
      <c r="B3" s="159"/>
      <c r="C3" s="43"/>
      <c r="D3" s="301" t="s">
        <v>917</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302" t="s">
        <v>4</v>
      </c>
      <c r="B9" s="38"/>
      <c r="C9" s="38"/>
      <c r="D9" s="38"/>
      <c r="E9" s="38"/>
      <c r="F9" s="38"/>
      <c r="G9" s="39"/>
    </row>
    <row r="10" ht="30.0" customHeight="1">
      <c r="B10" s="303" t="s">
        <v>5</v>
      </c>
      <c r="C10" s="304" t="s">
        <v>502</v>
      </c>
      <c r="D10" s="167"/>
      <c r="E10" s="303" t="s">
        <v>7</v>
      </c>
      <c r="F10" s="304" t="s">
        <v>948</v>
      </c>
    </row>
    <row r="11" ht="30.0" customHeight="1">
      <c r="B11" s="305" t="s">
        <v>919</v>
      </c>
      <c r="C11" s="306" t="s">
        <v>949</v>
      </c>
      <c r="D11" s="167"/>
      <c r="E11" s="305" t="s">
        <v>461</v>
      </c>
      <c r="F11" s="306" t="s">
        <v>921</v>
      </c>
    </row>
    <row r="12" ht="30.0" customHeight="1">
      <c r="B12" s="303" t="s">
        <v>922</v>
      </c>
      <c r="C12" s="304" t="s">
        <v>950</v>
      </c>
      <c r="D12" s="167"/>
      <c r="E12" s="303" t="s">
        <v>924</v>
      </c>
      <c r="F12" s="304" t="s">
        <v>951</v>
      </c>
    </row>
    <row r="13" ht="30.0" customHeight="1">
      <c r="B13" s="305" t="s">
        <v>926</v>
      </c>
      <c r="C13" s="306" t="s">
        <v>952</v>
      </c>
      <c r="D13" s="167"/>
      <c r="E13" s="305" t="s">
        <v>928</v>
      </c>
      <c r="F13" s="306" t="s">
        <v>953</v>
      </c>
    </row>
    <row r="14" ht="30.0" customHeight="1">
      <c r="B14" s="303" t="s">
        <v>930</v>
      </c>
      <c r="C14" s="304" t="s">
        <v>954</v>
      </c>
      <c r="D14" s="167"/>
      <c r="E14" s="303" t="s">
        <v>932</v>
      </c>
      <c r="F14" s="304" t="s">
        <v>616</v>
      </c>
    </row>
    <row r="15" ht="30.0" customHeight="1">
      <c r="B15" s="305" t="s">
        <v>475</v>
      </c>
      <c r="C15" s="306" t="s">
        <v>227</v>
      </c>
      <c r="D15" s="167"/>
      <c r="E15" s="305" t="s">
        <v>476</v>
      </c>
      <c r="F15" s="306" t="s">
        <v>511</v>
      </c>
    </row>
    <row r="16" ht="30.0" customHeight="1">
      <c r="B16" s="303" t="s">
        <v>934</v>
      </c>
      <c r="C16" s="304" t="s">
        <v>955</v>
      </c>
      <c r="D16" s="167"/>
      <c r="E16" s="303" t="s">
        <v>37</v>
      </c>
      <c r="F16" s="304" t="s">
        <v>625</v>
      </c>
    </row>
    <row r="17" ht="30.0" customHeight="1">
      <c r="B17" s="305" t="s">
        <v>35</v>
      </c>
      <c r="C17" s="306" t="s">
        <v>956</v>
      </c>
      <c r="D17" s="167"/>
      <c r="E17" s="305" t="s">
        <v>937</v>
      </c>
      <c r="F17" s="306" t="s">
        <v>938</v>
      </c>
    </row>
    <row r="18" ht="30.0" customHeight="1">
      <c r="B18" s="303" t="s">
        <v>486</v>
      </c>
      <c r="C18" s="304" t="s">
        <v>957</v>
      </c>
      <c r="D18" s="167"/>
      <c r="E18" s="303" t="s">
        <v>488</v>
      </c>
      <c r="F18" s="304" t="s">
        <v>958</v>
      </c>
    </row>
    <row r="19" ht="30.0" customHeight="1">
      <c r="B19" s="305" t="s">
        <v>941</v>
      </c>
      <c r="C19" s="306" t="s">
        <v>959</v>
      </c>
      <c r="D19" s="167"/>
      <c r="E19" s="305" t="s">
        <v>492</v>
      </c>
      <c r="F19" s="306" t="s">
        <v>960</v>
      </c>
    </row>
    <row r="20" ht="6.0" customHeight="1">
      <c r="A20" s="163"/>
      <c r="B20" s="38"/>
      <c r="C20" s="38"/>
      <c r="D20" s="38"/>
      <c r="E20" s="38"/>
      <c r="F20" s="38"/>
      <c r="G20" s="39"/>
    </row>
    <row r="21" ht="24.0" customHeight="1">
      <c r="A21" s="302" t="s">
        <v>45</v>
      </c>
      <c r="B21" s="38"/>
      <c r="C21" s="38"/>
      <c r="D21" s="38"/>
      <c r="E21" s="38"/>
      <c r="F21" s="38"/>
      <c r="G21" s="39"/>
    </row>
    <row r="22" ht="18.0" customHeight="1">
      <c r="B22" s="307" t="s">
        <v>961</v>
      </c>
      <c r="C22" s="308"/>
      <c r="D22" s="308"/>
      <c r="E22" s="308"/>
      <c r="F22" s="309"/>
    </row>
    <row r="23" ht="18.0" customHeight="1">
      <c r="B23" s="310"/>
      <c r="F23" s="129"/>
    </row>
    <row r="24" ht="18.0" customHeight="1">
      <c r="B24" s="310"/>
      <c r="F24" s="129"/>
    </row>
    <row r="25" ht="18.0" customHeight="1">
      <c r="B25" s="311"/>
      <c r="C25" s="162"/>
      <c r="D25" s="162"/>
      <c r="E25" s="162"/>
      <c r="F25" s="46"/>
    </row>
    <row r="26" ht="6.0" customHeight="1">
      <c r="A26" s="163"/>
      <c r="B26" s="38"/>
      <c r="C26" s="38"/>
      <c r="D26" s="38"/>
      <c r="E26" s="38"/>
      <c r="F26" s="38"/>
      <c r="G26" s="39"/>
    </row>
    <row r="27" ht="24.0" customHeight="1">
      <c r="A27" s="312" t="s">
        <v>47</v>
      </c>
      <c r="B27" s="38"/>
      <c r="C27" s="38"/>
      <c r="D27" s="38"/>
      <c r="E27" s="38"/>
      <c r="F27" s="38"/>
      <c r="G27" s="39"/>
    </row>
    <row r="28" ht="19.5" customHeight="1">
      <c r="B28" s="313" t="s">
        <v>962</v>
      </c>
      <c r="C28" s="314"/>
      <c r="D28" s="314"/>
      <c r="E28" s="314"/>
      <c r="F28" s="315"/>
    </row>
    <row r="29" ht="19.5" customHeight="1">
      <c r="B29" s="316"/>
      <c r="F29" s="129"/>
    </row>
    <row r="30" ht="19.5" customHeight="1">
      <c r="B30" s="317"/>
      <c r="C30" s="162"/>
      <c r="D30" s="162"/>
      <c r="E30" s="162"/>
      <c r="F30" s="46"/>
    </row>
    <row r="31" ht="7.5" customHeight="1">
      <c r="A31" s="163"/>
      <c r="B31" s="38"/>
      <c r="C31" s="38"/>
      <c r="D31" s="38"/>
      <c r="E31" s="38"/>
      <c r="F31" s="38"/>
      <c r="G31" s="39"/>
    </row>
    <row r="32" ht="19.5" customHeight="1">
      <c r="A32" s="318"/>
      <c r="B32" s="319" t="s">
        <v>496</v>
      </c>
      <c r="C32" s="39"/>
      <c r="D32" s="320" t="s">
        <v>497</v>
      </c>
      <c r="E32" s="321" t="s">
        <v>498</v>
      </c>
      <c r="F32" s="39"/>
      <c r="G32" s="3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57"/>
    <col customWidth="1" min="2" max="2" width="22.0"/>
    <col customWidth="1" min="3" max="3" width="28.0"/>
    <col customWidth="1" min="4" max="4" width="2.0"/>
    <col customWidth="1" min="5" max="5" width="22.0"/>
    <col customWidth="1" min="6" max="6" width="28.0"/>
    <col customWidth="1" min="7" max="7" width="1.57"/>
    <col customWidth="1" min="8" max="26" width="8.71"/>
  </cols>
  <sheetData>
    <row r="1" ht="42.0" customHeight="1">
      <c r="A1" s="298" t="s">
        <v>915</v>
      </c>
      <c r="B1" s="38"/>
      <c r="C1" s="38"/>
      <c r="D1" s="38"/>
      <c r="E1" s="38"/>
      <c r="F1" s="38"/>
      <c r="G1" s="39"/>
    </row>
    <row r="2" ht="24.0" customHeight="1">
      <c r="A2" s="299" t="s">
        <v>963</v>
      </c>
      <c r="B2" s="38"/>
      <c r="C2" s="38"/>
      <c r="D2" s="38"/>
      <c r="E2" s="38"/>
      <c r="F2" s="38"/>
      <c r="G2" s="39"/>
    </row>
    <row r="3" ht="21.75" customHeight="1">
      <c r="A3" s="323" t="s">
        <v>964</v>
      </c>
      <c r="B3" s="159"/>
      <c r="C3" s="43"/>
      <c r="D3" s="301" t="s">
        <v>917</v>
      </c>
      <c r="E3" s="159"/>
      <c r="F3" s="159"/>
      <c r="G3" s="43"/>
    </row>
    <row r="4" ht="21.75" customHeight="1">
      <c r="A4" s="161"/>
      <c r="C4" s="129"/>
      <c r="D4" s="161"/>
      <c r="G4" s="129"/>
    </row>
    <row r="5" ht="21.75" customHeight="1">
      <c r="A5" s="161"/>
      <c r="C5" s="129"/>
      <c r="D5" s="161"/>
      <c r="G5" s="129"/>
    </row>
    <row r="6" ht="21.75" customHeight="1">
      <c r="A6" s="161"/>
      <c r="C6" s="129"/>
      <c r="D6" s="161"/>
      <c r="G6" s="129"/>
    </row>
    <row r="7" ht="21.75" customHeight="1">
      <c r="A7" s="45"/>
      <c r="B7" s="162"/>
      <c r="C7" s="46"/>
      <c r="D7" s="45"/>
      <c r="E7" s="162"/>
      <c r="F7" s="162"/>
      <c r="G7" s="46"/>
    </row>
    <row r="8" ht="6.0" customHeight="1">
      <c r="A8" s="163"/>
      <c r="B8" s="38"/>
      <c r="C8" s="38"/>
      <c r="D8" s="38"/>
      <c r="E8" s="38"/>
      <c r="F8" s="38"/>
      <c r="G8" s="39"/>
    </row>
    <row r="9" ht="24.0" customHeight="1">
      <c r="A9" s="302" t="s">
        <v>4</v>
      </c>
      <c r="B9" s="38"/>
      <c r="C9" s="38"/>
      <c r="D9" s="38"/>
      <c r="E9" s="38"/>
      <c r="F9" s="38"/>
      <c r="G9" s="39"/>
    </row>
    <row r="10" ht="30.0" customHeight="1">
      <c r="B10" s="303" t="s">
        <v>5</v>
      </c>
      <c r="C10" s="304" t="s">
        <v>52</v>
      </c>
      <c r="D10" s="167"/>
      <c r="E10" s="303" t="s">
        <v>7</v>
      </c>
      <c r="F10" s="304" t="s">
        <v>965</v>
      </c>
    </row>
    <row r="11" ht="30.0" customHeight="1">
      <c r="B11" s="305" t="s">
        <v>919</v>
      </c>
      <c r="C11" s="306" t="s">
        <v>966</v>
      </c>
      <c r="D11" s="167"/>
      <c r="E11" s="305" t="s">
        <v>461</v>
      </c>
      <c r="F11" s="306" t="s">
        <v>967</v>
      </c>
    </row>
    <row r="12" ht="30.0" customHeight="1">
      <c r="B12" s="303" t="s">
        <v>922</v>
      </c>
      <c r="C12" s="304" t="s">
        <v>968</v>
      </c>
      <c r="D12" s="167"/>
      <c r="E12" s="303" t="s">
        <v>924</v>
      </c>
      <c r="F12" s="304" t="s">
        <v>969</v>
      </c>
    </row>
    <row r="13" ht="30.0" customHeight="1">
      <c r="B13" s="305" t="s">
        <v>926</v>
      </c>
      <c r="C13" s="306" t="s">
        <v>970</v>
      </c>
      <c r="D13" s="167"/>
      <c r="E13" s="305" t="s">
        <v>928</v>
      </c>
      <c r="F13" s="306" t="s">
        <v>971</v>
      </c>
    </row>
    <row r="14" ht="30.0" customHeight="1">
      <c r="B14" s="303" t="s">
        <v>930</v>
      </c>
      <c r="C14" s="304" t="s">
        <v>972</v>
      </c>
      <c r="D14" s="167"/>
      <c r="E14" s="303" t="s">
        <v>932</v>
      </c>
      <c r="F14" s="304" t="s">
        <v>58</v>
      </c>
    </row>
    <row r="15" ht="30.0" customHeight="1">
      <c r="B15" s="305" t="s">
        <v>475</v>
      </c>
      <c r="C15" s="306" t="s">
        <v>227</v>
      </c>
      <c r="D15" s="167"/>
      <c r="E15" s="305" t="s">
        <v>476</v>
      </c>
      <c r="F15" s="306" t="s">
        <v>477</v>
      </c>
    </row>
    <row r="16" ht="30.0" customHeight="1">
      <c r="B16" s="303" t="s">
        <v>934</v>
      </c>
      <c r="C16" s="304" t="s">
        <v>973</v>
      </c>
      <c r="D16" s="167"/>
      <c r="E16" s="303" t="s">
        <v>37</v>
      </c>
      <c r="F16" s="304" t="s">
        <v>974</v>
      </c>
    </row>
    <row r="17" ht="30.0" customHeight="1">
      <c r="B17" s="305" t="s">
        <v>35</v>
      </c>
      <c r="C17" s="306" t="s">
        <v>975</v>
      </c>
      <c r="D17" s="167"/>
      <c r="E17" s="305" t="s">
        <v>937</v>
      </c>
      <c r="F17" s="306" t="s">
        <v>938</v>
      </c>
    </row>
    <row r="18" ht="30.0" customHeight="1">
      <c r="B18" s="303" t="s">
        <v>486</v>
      </c>
      <c r="C18" s="304" t="s">
        <v>976</v>
      </c>
      <c r="D18" s="167"/>
      <c r="E18" s="303" t="s">
        <v>488</v>
      </c>
      <c r="F18" s="304" t="s">
        <v>977</v>
      </c>
    </row>
    <row r="19" ht="30.0" customHeight="1">
      <c r="B19" s="305" t="s">
        <v>941</v>
      </c>
      <c r="C19" s="306" t="s">
        <v>978</v>
      </c>
      <c r="D19" s="167"/>
      <c r="E19" s="305" t="s">
        <v>492</v>
      </c>
      <c r="F19" s="306" t="s">
        <v>979</v>
      </c>
    </row>
    <row r="20" ht="6.0" customHeight="1">
      <c r="A20" s="163"/>
      <c r="B20" s="38"/>
      <c r="C20" s="38"/>
      <c r="D20" s="38"/>
      <c r="E20" s="38"/>
      <c r="F20" s="38"/>
      <c r="G20" s="39"/>
    </row>
    <row r="21" ht="24.0" customHeight="1">
      <c r="A21" s="302" t="s">
        <v>45</v>
      </c>
      <c r="B21" s="38"/>
      <c r="C21" s="38"/>
      <c r="D21" s="38"/>
      <c r="E21" s="38"/>
      <c r="F21" s="38"/>
      <c r="G21" s="39"/>
    </row>
    <row r="22" ht="18.0" customHeight="1">
      <c r="B22" s="307" t="s">
        <v>980</v>
      </c>
      <c r="C22" s="308"/>
      <c r="D22" s="308"/>
      <c r="E22" s="308"/>
      <c r="F22" s="309"/>
    </row>
    <row r="23" ht="18.0" customHeight="1">
      <c r="B23" s="310"/>
      <c r="F23" s="129"/>
    </row>
    <row r="24" ht="18.0" customHeight="1">
      <c r="B24" s="310"/>
      <c r="F24" s="129"/>
    </row>
    <row r="25" ht="18.0" customHeight="1">
      <c r="B25" s="311"/>
      <c r="C25" s="162"/>
      <c r="D25" s="162"/>
      <c r="E25" s="162"/>
      <c r="F25" s="46"/>
    </row>
    <row r="26" ht="6.0" customHeight="1">
      <c r="A26" s="163"/>
      <c r="B26" s="38"/>
      <c r="C26" s="38"/>
      <c r="D26" s="38"/>
      <c r="E26" s="38"/>
      <c r="F26" s="38"/>
      <c r="G26" s="39"/>
    </row>
    <row r="27" ht="24.0" customHeight="1">
      <c r="A27" s="312" t="s">
        <v>47</v>
      </c>
      <c r="B27" s="38"/>
      <c r="C27" s="38"/>
      <c r="D27" s="38"/>
      <c r="E27" s="38"/>
      <c r="F27" s="38"/>
      <c r="G27" s="39"/>
    </row>
    <row r="28" ht="19.5" customHeight="1">
      <c r="B28" s="313" t="s">
        <v>981</v>
      </c>
      <c r="C28" s="314"/>
      <c r="D28" s="314"/>
      <c r="E28" s="314"/>
      <c r="F28" s="315"/>
    </row>
    <row r="29" ht="19.5" customHeight="1">
      <c r="B29" s="316"/>
      <c r="F29" s="129"/>
    </row>
    <row r="30" ht="19.5" customHeight="1">
      <c r="B30" s="317"/>
      <c r="C30" s="162"/>
      <c r="D30" s="162"/>
      <c r="E30" s="162"/>
      <c r="F30" s="46"/>
    </row>
    <row r="31" ht="7.5" customHeight="1">
      <c r="A31" s="163"/>
      <c r="B31" s="38"/>
      <c r="C31" s="38"/>
      <c r="D31" s="38"/>
      <c r="E31" s="38"/>
      <c r="F31" s="38"/>
      <c r="G31" s="39"/>
    </row>
    <row r="32" ht="19.5" customHeight="1">
      <c r="A32" s="318"/>
      <c r="B32" s="319" t="s">
        <v>496</v>
      </c>
      <c r="C32" s="39"/>
      <c r="D32" s="320" t="s">
        <v>497</v>
      </c>
      <c r="E32" s="321" t="s">
        <v>498</v>
      </c>
      <c r="F32" s="39"/>
      <c r="G32" s="3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1:G21"/>
    <mergeCell ref="B22:F25"/>
    <mergeCell ref="A26:G26"/>
    <mergeCell ref="A27:G27"/>
    <mergeCell ref="B28:F30"/>
    <mergeCell ref="A31:G31"/>
    <mergeCell ref="B32:C32"/>
    <mergeCell ref="E32:F32"/>
    <mergeCell ref="A1:G1"/>
    <mergeCell ref="A2:G2"/>
    <mergeCell ref="A3:C7"/>
    <mergeCell ref="D3:G7"/>
    <mergeCell ref="A8:G8"/>
    <mergeCell ref="A9:G9"/>
    <mergeCell ref="A20:G20"/>
  </mergeCells>
  <printOptions/>
  <pageMargins bottom="1.0" footer="0.0" header="0.0" left="0.75" right="0.75" top="1.0"/>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57"/>
    <col customWidth="1" min="2" max="2" width="26.0"/>
    <col customWidth="1" min="3" max="5" width="22.0"/>
    <col customWidth="1" min="6" max="6" width="1.57"/>
    <col customWidth="1" min="7" max="26" width="8.71"/>
  </cols>
  <sheetData>
    <row r="1" ht="42.0" customHeight="1">
      <c r="A1" s="298" t="s">
        <v>982</v>
      </c>
      <c r="B1" s="38"/>
      <c r="C1" s="38"/>
      <c r="D1" s="38"/>
      <c r="E1" s="38"/>
      <c r="F1" s="39"/>
    </row>
    <row r="2" ht="21.75" customHeight="1">
      <c r="A2" s="324" t="s">
        <v>983</v>
      </c>
      <c r="B2" s="38"/>
      <c r="C2" s="38"/>
      <c r="D2" s="38"/>
      <c r="E2" s="38"/>
      <c r="F2" s="39"/>
    </row>
    <row r="3" ht="6.0" customHeight="1">
      <c r="A3" s="163"/>
      <c r="B3" s="38"/>
      <c r="C3" s="38"/>
      <c r="D3" s="38"/>
      <c r="E3" s="38"/>
      <c r="F3" s="39"/>
    </row>
    <row r="4" ht="25.5" customHeight="1">
      <c r="B4" s="325" t="s">
        <v>540</v>
      </c>
      <c r="C4" s="325" t="s">
        <v>984</v>
      </c>
      <c r="D4" s="325" t="s">
        <v>985</v>
      </c>
      <c r="E4" s="325" t="s">
        <v>986</v>
      </c>
    </row>
    <row r="5" ht="21.75" customHeight="1">
      <c r="B5" s="326" t="s">
        <v>544</v>
      </c>
      <c r="C5" s="327" t="s">
        <v>6</v>
      </c>
      <c r="D5" s="327" t="s">
        <v>502</v>
      </c>
      <c r="E5" s="327" t="s">
        <v>52</v>
      </c>
    </row>
    <row r="6" ht="27.75" customHeight="1">
      <c r="B6" s="303" t="s">
        <v>919</v>
      </c>
      <c r="C6" s="328" t="s">
        <v>987</v>
      </c>
      <c r="D6" s="328" t="s">
        <v>949</v>
      </c>
      <c r="E6" s="328" t="s">
        <v>966</v>
      </c>
    </row>
    <row r="7" ht="27.75" customHeight="1">
      <c r="B7" s="305" t="s">
        <v>988</v>
      </c>
      <c r="C7" s="329" t="s">
        <v>989</v>
      </c>
      <c r="D7" s="329" t="s">
        <v>989</v>
      </c>
      <c r="E7" s="329" t="s">
        <v>989</v>
      </c>
    </row>
    <row r="8" ht="36.0" customHeight="1">
      <c r="B8" s="303" t="s">
        <v>490</v>
      </c>
      <c r="C8" s="328" t="s">
        <v>990</v>
      </c>
      <c r="D8" s="330" t="s">
        <v>991</v>
      </c>
      <c r="E8" s="330" t="s">
        <v>992</v>
      </c>
    </row>
    <row r="9" ht="27.75" customHeight="1">
      <c r="B9" s="305" t="s">
        <v>993</v>
      </c>
      <c r="C9" s="329" t="s">
        <v>994</v>
      </c>
      <c r="D9" s="329" t="s">
        <v>995</v>
      </c>
      <c r="E9" s="329" t="s">
        <v>996</v>
      </c>
    </row>
    <row r="10" ht="36.0" customHeight="1">
      <c r="B10" s="303" t="s">
        <v>928</v>
      </c>
      <c r="C10" s="328" t="s">
        <v>997</v>
      </c>
      <c r="D10" s="328" t="s">
        <v>998</v>
      </c>
      <c r="E10" s="328" t="s">
        <v>999</v>
      </c>
    </row>
    <row r="11" ht="27.75" customHeight="1">
      <c r="B11" s="305" t="s">
        <v>594</v>
      </c>
      <c r="C11" s="331" t="s">
        <v>1000</v>
      </c>
      <c r="D11" s="330" t="s">
        <v>1001</v>
      </c>
      <c r="E11" s="330" t="s">
        <v>1002</v>
      </c>
    </row>
    <row r="12" ht="27.75" customHeight="1">
      <c r="B12" s="303" t="s">
        <v>924</v>
      </c>
      <c r="C12" s="328" t="s">
        <v>1003</v>
      </c>
      <c r="D12" s="328" t="s">
        <v>1004</v>
      </c>
      <c r="E12" s="328" t="s">
        <v>1005</v>
      </c>
    </row>
    <row r="13" ht="27.75" customHeight="1">
      <c r="B13" s="305" t="s">
        <v>709</v>
      </c>
      <c r="C13" s="331" t="s">
        <v>227</v>
      </c>
      <c r="D13" s="331" t="s">
        <v>227</v>
      </c>
      <c r="E13" s="331" t="s">
        <v>227</v>
      </c>
    </row>
    <row r="14" ht="27.75" customHeight="1">
      <c r="B14" s="303" t="s">
        <v>1006</v>
      </c>
      <c r="C14" s="328" t="s">
        <v>1007</v>
      </c>
      <c r="D14" s="328" t="s">
        <v>1008</v>
      </c>
      <c r="E14" s="328" t="s">
        <v>131</v>
      </c>
    </row>
    <row r="15" ht="27.75" customHeight="1">
      <c r="B15" s="305" t="s">
        <v>1009</v>
      </c>
      <c r="C15" s="331" t="s">
        <v>1010</v>
      </c>
      <c r="D15" s="332" t="s">
        <v>1011</v>
      </c>
      <c r="E15" s="332" t="s">
        <v>1011</v>
      </c>
    </row>
    <row r="16" ht="27.75" customHeight="1">
      <c r="B16" s="303" t="s">
        <v>1012</v>
      </c>
      <c r="C16" s="328" t="s">
        <v>1013</v>
      </c>
      <c r="D16" s="328" t="s">
        <v>1014</v>
      </c>
      <c r="E16" s="328" t="s">
        <v>1015</v>
      </c>
    </row>
    <row r="17" ht="27.75" customHeight="1">
      <c r="B17" s="305" t="s">
        <v>590</v>
      </c>
      <c r="C17" s="331" t="s">
        <v>728</v>
      </c>
      <c r="D17" s="330" t="s">
        <v>1016</v>
      </c>
      <c r="E17" s="330" t="s">
        <v>1016</v>
      </c>
    </row>
    <row r="18" ht="27.75" customHeight="1">
      <c r="B18" s="303" t="s">
        <v>461</v>
      </c>
      <c r="C18" s="328" t="s">
        <v>1017</v>
      </c>
      <c r="D18" s="328" t="s">
        <v>1017</v>
      </c>
      <c r="E18" s="328" t="s">
        <v>1017</v>
      </c>
    </row>
    <row r="19" ht="27.75" customHeight="1">
      <c r="B19" s="305" t="s">
        <v>1018</v>
      </c>
      <c r="C19" s="331" t="s">
        <v>1019</v>
      </c>
      <c r="D19" s="330" t="s">
        <v>1020</v>
      </c>
      <c r="E19" s="331" t="s">
        <v>1021</v>
      </c>
    </row>
    <row r="20" ht="36.0" customHeight="1">
      <c r="B20" s="303" t="s">
        <v>1022</v>
      </c>
      <c r="C20" s="328" t="s">
        <v>1023</v>
      </c>
      <c r="D20" s="328" t="s">
        <v>1024</v>
      </c>
      <c r="E20" s="328" t="s">
        <v>1025</v>
      </c>
    </row>
    <row r="21" ht="27.75" customHeight="1">
      <c r="B21" s="305" t="s">
        <v>597</v>
      </c>
      <c r="C21" s="329" t="s">
        <v>1026</v>
      </c>
      <c r="D21" s="329" t="s">
        <v>1027</v>
      </c>
      <c r="E21" s="329" t="s">
        <v>598</v>
      </c>
    </row>
    <row r="22" ht="7.5" customHeight="1">
      <c r="A22" s="163"/>
      <c r="B22" s="38"/>
      <c r="C22" s="38"/>
      <c r="D22" s="38"/>
      <c r="E22" s="38"/>
      <c r="F22" s="39"/>
    </row>
    <row r="23" ht="27.75" customHeight="1">
      <c r="A23" s="333" t="s">
        <v>1028</v>
      </c>
      <c r="B23" s="38"/>
      <c r="C23" s="38"/>
      <c r="D23" s="38"/>
      <c r="E23" s="38"/>
      <c r="F23" s="39"/>
    </row>
    <row r="24" ht="33.75" customHeight="1">
      <c r="B24" s="334" t="s">
        <v>1029</v>
      </c>
      <c r="C24" s="38"/>
      <c r="D24" s="38"/>
      <c r="E24" s="39"/>
    </row>
    <row r="25" ht="139.5" customHeight="1">
      <c r="B25" s="303" t="s">
        <v>1030</v>
      </c>
      <c r="C25" s="335" t="s">
        <v>1031</v>
      </c>
      <c r="D25" s="336"/>
      <c r="E25" s="337"/>
    </row>
    <row r="26" ht="117.75" customHeight="1">
      <c r="B26" s="305" t="s">
        <v>1032</v>
      </c>
      <c r="C26" s="338" t="s">
        <v>1033</v>
      </c>
      <c r="D26" s="336"/>
      <c r="E26" s="337"/>
    </row>
    <row r="27" ht="96.0" customHeight="1">
      <c r="B27" s="303" t="s">
        <v>1034</v>
      </c>
      <c r="C27" s="335" t="s">
        <v>1035</v>
      </c>
      <c r="D27" s="336"/>
      <c r="E27" s="337"/>
    </row>
    <row r="28" ht="96.0" customHeight="1">
      <c r="B28" s="305" t="s">
        <v>1036</v>
      </c>
      <c r="C28" s="338" t="s">
        <v>1037</v>
      </c>
      <c r="D28" s="336"/>
      <c r="E28" s="337"/>
    </row>
    <row r="29" ht="7.5" customHeight="1">
      <c r="A29" s="163"/>
      <c r="B29" s="38"/>
      <c r="C29" s="38"/>
      <c r="D29" s="38"/>
      <c r="E29" s="38"/>
      <c r="F29" s="39"/>
    </row>
    <row r="30" ht="19.5" customHeight="1">
      <c r="A30" s="318"/>
      <c r="B30" s="319" t="s">
        <v>496</v>
      </c>
      <c r="C30" s="39"/>
      <c r="D30" s="320" t="s">
        <v>497</v>
      </c>
      <c r="E30" s="321" t="s">
        <v>498</v>
      </c>
      <c r="F30" s="3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26:E26"/>
    <mergeCell ref="C27:E27"/>
    <mergeCell ref="C28:E28"/>
    <mergeCell ref="A29:F29"/>
    <mergeCell ref="B30:C30"/>
    <mergeCell ref="E30:F30"/>
    <mergeCell ref="A1:F1"/>
    <mergeCell ref="A2:F2"/>
    <mergeCell ref="A3:F3"/>
    <mergeCell ref="A22:F22"/>
    <mergeCell ref="A23:F23"/>
    <mergeCell ref="B24:E24"/>
    <mergeCell ref="C25:E2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2026-06-15T18:28:44Z</dcterms:created>
  <dc:creator>openpyxl</dc:creator>
</cp:coreProperties>
</file>